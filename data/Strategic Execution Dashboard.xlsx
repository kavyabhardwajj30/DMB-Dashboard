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08" documentId="8_{9B9C04DA-ABE2-4E9B-9FCF-AA5C7C703189}" xr6:coauthVersionLast="47" xr6:coauthVersionMax="47" xr10:uidLastSave="{46D14F69-5A49-4F9E-8EA9-3814FCDEEEBE}"/>
  <bookViews>
    <workbookView xWindow="28680" yWindow="-120" windowWidth="29040" windowHeight="1572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<sst xmlns="http://schemas.openxmlformats.org/spreadsheetml/2006/main" count="495" uniqueCount="144">
  <si>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</si>
  <si>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</si>
  <si>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</si>
  <si>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</si>
  <si>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</si>
  <si>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</si>
  <si>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</si>
  <si>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</si>
  <si>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</si>
  <si>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</si>
  <si>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</si>
  <si>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</si>
  <si>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</si>
  <si>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</si>
  <si>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</si>
  <si>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</si>
  <si>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</si>
  <si>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</si>
  <si>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</si>
  <si>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</si>
  <si>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</si>
  <si>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</si>
  <si>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</si>
  <si>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</si>
  <si>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</si>
  <si>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</si>
  <si>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</si>
  <si>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</si>
  <si>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</si>
  <si>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</si>
  <si>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</si>
  <si>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</si>
  <si>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</si>
  <si>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</si>
  <si>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</si>
  <si>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</si>
  <si>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</si>
  <si>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</si>
  <si>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</si>
  <si>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</si>
  <si>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</si>
  <si>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</si>
  <si>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</si>
  <si>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</si>
  <si>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</si>
  <si>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</si>
  <si>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</si>
  <si>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</si>
  <si>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</si>
  <si>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</si>
  <si>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</si>
  <si>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</si>
  <si>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</si>
  <si>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</si>
  <si>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</si>
  <si>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</si>
  <si>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</si>
  <si>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</si>
  <si>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</si>
  <si>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</si>
  <si>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</si>
  <si>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</si>
  <si>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</si>
  <si>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</si>
  <si>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</si>
  <si>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</si>
  <si>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</si>
  <si>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</si>
  <si>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</si>
  <si>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</si>
  <si>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</si>
  <si>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</si>
  <si>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</si>
  <si>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</si>
  <si>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</si>
  <si>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</si>
  <si>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</si>
  <si>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</si>
  <si>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</si>
  <si>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</si>
  <si>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</si>
  <si>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</si>
  <si>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</si>
  <si>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YTD Aug Productivity no's on track.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</si>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</sst>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715645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>
        <f>IF('AOP Critical'!W7="","",'AOP Critical'!W7)</f>
        <v>0.06</v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 t="str">
        <f>IF('AOP Critical'!T19="","",'AOP Critical'!T19)</f>
        <v/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6" activePane="bottomLeft" state="frozen"/>
      <selection pane="bottomLeft" activeCell="T19" sqref="T19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64" t="s">
        <v>5</v>
      </c>
      <c r="F5" s="164"/>
      <c r="G5" s="16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10"/>
      <c r="Y6" s="101"/>
      <c r="Z6" s="101"/>
      <c r="AA6" s="117" t="s">
        <v>54</v>
      </c>
    </row>
    <row r="7" spans="1:27" x14ac:dyDescent="0.3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>
        <v>0.06</v>
      </c>
      <c r="X7" s="111"/>
      <c r="Y7" s="131"/>
      <c r="Z7" s="131"/>
      <c r="AA7" s="118"/>
    </row>
    <row r="8" spans="1:27" x14ac:dyDescent="0.35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111"/>
      <c r="Y8" s="130" t="s">
        <v>58</v>
      </c>
      <c r="Z8" s="115">
        <v>46231</v>
      </c>
      <c r="AA8" s="117" t="s">
        <v>59</v>
      </c>
    </row>
    <row r="9" spans="1:27" x14ac:dyDescent="0.3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111"/>
      <c r="Y9" s="131"/>
      <c r="Z9" s="116"/>
      <c r="AA9" s="118"/>
    </row>
    <row r="10" spans="1:27" x14ac:dyDescent="0.35">
      <c r="A10" s="92"/>
      <c r="B10" s="125" t="s">
        <v>60</v>
      </c>
      <c r="C10" s="137" t="s">
        <v>49</v>
      </c>
      <c r="D10" s="105" t="s">
        <v>61</v>
      </c>
      <c r="E10" s="104">
        <v>1</v>
      </c>
      <c r="F10" s="104"/>
      <c r="G10" s="104"/>
      <c r="H10" s="103" t="s">
        <v>51</v>
      </c>
      <c r="I10" s="104" t="s">
        <v>62</v>
      </c>
      <c r="J10" s="106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111"/>
      <c r="Y10" s="119"/>
      <c r="Z10" s="165"/>
      <c r="AA10" s="117" t="s">
        <v>63</v>
      </c>
    </row>
    <row r="11" spans="1:27" ht="15" thickBot="1" x14ac:dyDescent="0.4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111"/>
      <c r="Y11" s="120"/>
      <c r="Z11" s="166"/>
      <c r="AA11" s="118"/>
    </row>
    <row r="12" spans="1:27" x14ac:dyDescent="0.35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29"/>
      <c r="Y12" s="130"/>
      <c r="Z12" s="131"/>
      <c r="AA12" s="117" t="s">
        <v>67</v>
      </c>
    </row>
    <row r="13" spans="1:27" x14ac:dyDescent="0.3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29"/>
      <c r="Y13" s="131"/>
      <c r="Z13" s="131"/>
      <c r="AA13" s="118"/>
    </row>
    <row r="14" spans="1:27" x14ac:dyDescent="0.35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09" t="s">
        <v>71</v>
      </c>
      <c r="Y14" s="100" t="s">
        <v>72</v>
      </c>
      <c r="Z14" s="100"/>
      <c r="AA14" s="127"/>
    </row>
    <row r="15" spans="1:27" ht="15" thickBot="1" x14ac:dyDescent="0.4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10"/>
      <c r="Y15" s="101"/>
      <c r="Z15" s="101"/>
      <c r="AA15" s="128"/>
    </row>
    <row r="16" spans="1:27" x14ac:dyDescent="0.35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111" t="s">
        <v>77</v>
      </c>
      <c r="Y16" s="130" t="s">
        <v>78</v>
      </c>
      <c r="Z16" s="116"/>
      <c r="AA16" s="117" t="s">
        <v>79</v>
      </c>
    </row>
    <row r="17" spans="1:27" x14ac:dyDescent="0.3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111"/>
      <c r="Y17" s="131"/>
      <c r="Z17" s="116"/>
      <c r="AA17" s="118"/>
    </row>
    <row r="18" spans="1:27" x14ac:dyDescent="0.35">
      <c r="A18" s="92"/>
      <c r="B18" s="123" t="s">
        <v>80</v>
      </c>
      <c r="C18" s="123" t="s">
        <v>74</v>
      </c>
      <c r="D18" s="123" t="s">
        <v>81</v>
      </c>
      <c r="E18" s="104" t="s">
        <v>76</v>
      </c>
      <c r="F18" s="104"/>
      <c r="G18" s="104"/>
      <c r="H18" s="103" t="s">
        <v>32</v>
      </c>
      <c r="I18" s="104" t="s">
        <v>82</v>
      </c>
      <c r="J18" s="106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35" t="s">
        <v>83</v>
      </c>
      <c r="Y18" s="135"/>
      <c r="Z18" s="132">
        <v>46108</v>
      </c>
      <c r="AA18" s="134"/>
    </row>
    <row r="19" spans="1:27" ht="18.649999999999999" customHeight="1" x14ac:dyDescent="0.3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47"/>
      <c r="U19" s="47"/>
      <c r="V19" s="47"/>
      <c r="W19" s="50"/>
      <c r="X19" s="135"/>
      <c r="Y19" s="135"/>
      <c r="Z19" s="133"/>
      <c r="AA19" s="134"/>
    </row>
    <row r="20" spans="1:27" ht="21" customHeight="1" x14ac:dyDescent="0.35">
      <c r="A20" s="92"/>
      <c r="B20" s="123" t="s">
        <v>84</v>
      </c>
      <c r="C20" s="123" t="s">
        <v>65</v>
      </c>
      <c r="D20" s="105" t="s">
        <v>85</v>
      </c>
      <c r="E20" s="104" t="s">
        <v>76</v>
      </c>
      <c r="F20" s="104"/>
      <c r="G20" s="104"/>
      <c r="H20" s="103" t="s">
        <v>51</v>
      </c>
      <c r="I20" s="104" t="s">
        <v>33</v>
      </c>
      <c r="J20" s="106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67" t="s">
        <v>86</v>
      </c>
      <c r="Y20" s="169" t="s">
        <v>87</v>
      </c>
      <c r="Z20" s="95"/>
      <c r="AA20" s="153" t="s">
        <v>88</v>
      </c>
    </row>
    <row r="21" spans="1:27" ht="16.5" customHeight="1" thickBot="1" x14ac:dyDescent="0.4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68"/>
      <c r="Y21" s="170"/>
      <c r="Z21" s="94"/>
      <c r="AA21" s="153"/>
    </row>
    <row r="22" spans="1:27" ht="16" customHeight="1" x14ac:dyDescent="0.35">
      <c r="A22" s="92" t="s">
        <v>26</v>
      </c>
      <c r="B22" s="123" t="s">
        <v>89</v>
      </c>
      <c r="C22" s="124" t="s">
        <v>90</v>
      </c>
      <c r="D22" s="123" t="s">
        <v>91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71"/>
      <c r="Y22" s="130"/>
      <c r="Z22" s="115">
        <v>46257</v>
      </c>
      <c r="AA22" s="113"/>
    </row>
    <row r="23" spans="1:27" ht="17.149999999999999" customHeight="1" thickBot="1" x14ac:dyDescent="0.4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10"/>
      <c r="Y23" s="131"/>
      <c r="Z23" s="116"/>
      <c r="AA23" s="114"/>
    </row>
    <row r="24" spans="1:27" ht="17.5" customHeight="1" x14ac:dyDescent="0.35">
      <c r="A24" s="90" t="s">
        <v>27</v>
      </c>
      <c r="B24" s="123" t="s">
        <v>92</v>
      </c>
      <c r="C24" s="124" t="s">
        <v>93</v>
      </c>
      <c r="D24" s="105" t="s">
        <v>94</v>
      </c>
      <c r="E24" s="104" t="s">
        <v>95</v>
      </c>
      <c r="F24" s="104" t="s">
        <v>95</v>
      </c>
      <c r="G24" s="104" t="s">
        <v>95</v>
      </c>
      <c r="H24" s="103" t="s">
        <v>32</v>
      </c>
      <c r="I24" s="104" t="s">
        <v>33</v>
      </c>
      <c r="J24" s="102" t="s">
        <v>34</v>
      </c>
      <c r="K24" s="23" t="s">
        <v>53</v>
      </c>
      <c r="L24" s="36"/>
      <c r="M24" s="36"/>
      <c r="N24" s="38">
        <v>0.104</v>
      </c>
      <c r="O24" s="22" t="s">
        <v>96</v>
      </c>
      <c r="P24" s="22" t="s">
        <v>96</v>
      </c>
      <c r="Q24" s="38">
        <v>0.11799999999999999</v>
      </c>
      <c r="R24" s="22" t="s">
        <v>96</v>
      </c>
      <c r="S24" s="22" t="s">
        <v>96</v>
      </c>
      <c r="T24" s="36"/>
      <c r="U24" s="22" t="s">
        <v>96</v>
      </c>
      <c r="V24" s="22" t="s">
        <v>96</v>
      </c>
      <c r="W24" s="39"/>
      <c r="X24" s="109"/>
      <c r="Y24" s="100"/>
      <c r="Z24" s="94"/>
      <c r="AA24" s="117" t="s">
        <v>97</v>
      </c>
    </row>
    <row r="25" spans="1:27" ht="15" thickBot="1" x14ac:dyDescent="0.4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3" t="s">
        <v>55</v>
      </c>
      <c r="L25" s="22" t="s">
        <v>96</v>
      </c>
      <c r="M25" s="22" t="s">
        <v>96</v>
      </c>
      <c r="N25" s="52">
        <v>0.115</v>
      </c>
      <c r="O25" s="22" t="s">
        <v>96</v>
      </c>
      <c r="P25" s="22" t="s">
        <v>96</v>
      </c>
      <c r="Q25" s="17">
        <v>0.121</v>
      </c>
      <c r="R25" s="22" t="s">
        <v>96</v>
      </c>
      <c r="S25" s="22" t="s">
        <v>96</v>
      </c>
      <c r="T25" s="57"/>
      <c r="U25" s="22" t="s">
        <v>96</v>
      </c>
      <c r="V25" s="22" t="s">
        <v>96</v>
      </c>
      <c r="W25" s="57"/>
      <c r="X25" s="110"/>
      <c r="Y25" s="101"/>
      <c r="Z25" s="95"/>
      <c r="AA25" s="118"/>
    </row>
    <row r="26" spans="1:27" ht="14.5" customHeight="1" x14ac:dyDescent="0.35">
      <c r="A26" s="91"/>
      <c r="B26" s="125" t="s">
        <v>98</v>
      </c>
      <c r="C26" s="126" t="s">
        <v>93</v>
      </c>
      <c r="D26" s="105" t="s">
        <v>99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111"/>
      <c r="Y26" s="131"/>
      <c r="Z26" s="116"/>
      <c r="AA26" s="117" t="s">
        <v>100</v>
      </c>
    </row>
    <row r="27" spans="1:27" ht="14.5" customHeight="1" thickBot="1" x14ac:dyDescent="0.4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111"/>
      <c r="Y27" s="131"/>
      <c r="Z27" s="116"/>
      <c r="AA27" s="118"/>
    </row>
    <row r="28" spans="1:27" ht="14.5" customHeight="1" x14ac:dyDescent="0.35">
      <c r="A28" s="91"/>
      <c r="B28" s="105" t="s">
        <v>101</v>
      </c>
      <c r="C28" s="123" t="s">
        <v>74</v>
      </c>
      <c r="D28" s="105" t="s">
        <v>102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59" t="s">
        <v>103</v>
      </c>
      <c r="Y28" s="96"/>
      <c r="Z28" s="94"/>
      <c r="AA28" s="154" t="s">
        <v>104</v>
      </c>
    </row>
    <row r="29" spans="1:27" ht="15" thickBot="1" x14ac:dyDescent="0.4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60"/>
      <c r="Y29" s="97"/>
      <c r="Z29" s="95"/>
      <c r="AA29" s="155"/>
    </row>
    <row r="30" spans="1:27" ht="14.5" customHeight="1" x14ac:dyDescent="0.35">
      <c r="A30" s="91"/>
      <c r="B30" s="105"/>
      <c r="C30" s="123" t="s">
        <v>74</v>
      </c>
      <c r="D30" s="105" t="s">
        <v>105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59"/>
      <c r="Y30" s="100"/>
      <c r="Z30" s="94"/>
      <c r="AA30" s="107"/>
    </row>
    <row r="31" spans="1:27" x14ac:dyDescent="0.3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60"/>
      <c r="Y31" s="101"/>
      <c r="Z31" s="95"/>
      <c r="AA31" s="108"/>
    </row>
    <row r="32" spans="1:27" ht="14.5" customHeight="1" x14ac:dyDescent="0.35">
      <c r="A32" s="91"/>
      <c r="B32" s="123" t="s">
        <v>106</v>
      </c>
      <c r="C32" s="124" t="s">
        <v>65</v>
      </c>
      <c r="D32" s="105" t="s">
        <v>107</v>
      </c>
      <c r="E32" s="104" t="s">
        <v>76</v>
      </c>
      <c r="F32" s="104"/>
      <c r="G32" s="104"/>
      <c r="H32" s="103" t="s">
        <v>32</v>
      </c>
      <c r="I32" s="104" t="s">
        <v>82</v>
      </c>
      <c r="J32" s="106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98" t="s">
        <v>108</v>
      </c>
      <c r="Y32" s="96" t="s">
        <v>109</v>
      </c>
      <c r="Z32" s="94"/>
      <c r="AA32" s="117" t="s">
        <v>110</v>
      </c>
    </row>
    <row r="33" spans="1:29" ht="15.65" customHeight="1" thickBot="1" x14ac:dyDescent="0.4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99"/>
      <c r="Y33" s="97"/>
      <c r="Z33" s="95"/>
      <c r="AA33" s="118"/>
    </row>
    <row r="34" spans="1:29" x14ac:dyDescent="0.35">
      <c r="A34" s="92" t="s">
        <v>28</v>
      </c>
      <c r="B34" s="144" t="s">
        <v>29</v>
      </c>
      <c r="C34" s="123" t="s">
        <v>90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111"/>
      <c r="Y34" s="131"/>
      <c r="Z34" s="116"/>
      <c r="AA34" s="117" t="s">
        <v>111</v>
      </c>
    </row>
    <row r="35" spans="1:29" x14ac:dyDescent="0.3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3" t="s">
        <v>55</v>
      </c>
      <c r="L35" s="22" t="s">
        <v>96</v>
      </c>
      <c r="M35" s="22" t="s">
        <v>96</v>
      </c>
      <c r="N35" s="19">
        <v>1</v>
      </c>
      <c r="O35" s="22" t="s">
        <v>96</v>
      </c>
      <c r="P35" s="22" t="s">
        <v>96</v>
      </c>
      <c r="Q35" s="19">
        <v>0.96199999999999997</v>
      </c>
      <c r="R35" s="22" t="s">
        <v>96</v>
      </c>
      <c r="S35" s="22" t="s">
        <v>96</v>
      </c>
      <c r="T35" s="19"/>
      <c r="U35" s="19"/>
      <c r="V35" s="19"/>
      <c r="W35" s="29"/>
      <c r="X35" s="111"/>
      <c r="Y35" s="131"/>
      <c r="Z35" s="116"/>
      <c r="AA35" s="118"/>
    </row>
    <row r="36" spans="1:29" x14ac:dyDescent="0.35">
      <c r="A36" s="92"/>
      <c r="B36" s="144" t="s">
        <v>35</v>
      </c>
      <c r="C36" s="123" t="s">
        <v>112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111" t="s">
        <v>113</v>
      </c>
      <c r="Y36" s="130" t="s">
        <v>114</v>
      </c>
      <c r="Z36" s="116"/>
      <c r="AA36" s="117" t="s">
        <v>115</v>
      </c>
    </row>
    <row r="37" spans="1:29" x14ac:dyDescent="0.3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3" t="s">
        <v>55</v>
      </c>
      <c r="L37" s="22" t="s">
        <v>116</v>
      </c>
      <c r="M37" s="22" t="s">
        <v>116</v>
      </c>
      <c r="N37" s="22" t="s">
        <v>116</v>
      </c>
      <c r="O37" s="19">
        <v>0.79</v>
      </c>
      <c r="P37" s="22" t="s">
        <v>116</v>
      </c>
      <c r="Q37" s="19">
        <v>0.79</v>
      </c>
      <c r="R37" s="22" t="s">
        <v>116</v>
      </c>
      <c r="S37" s="58"/>
      <c r="T37" s="58"/>
      <c r="U37" s="58"/>
      <c r="V37" s="58"/>
      <c r="W37" s="59"/>
      <c r="X37" s="109"/>
      <c r="Y37" s="96"/>
      <c r="Z37" s="94"/>
      <c r="AA37" s="153"/>
    </row>
    <row r="38" spans="1:29" s="5" customFormat="1" x14ac:dyDescent="0.3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5" x14ac:dyDescent="0.35">
      <c r="A39" s="149" t="s">
        <v>117</v>
      </c>
      <c r="B39" s="14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118</v>
      </c>
      <c r="C40" s="10" t="s">
        <v>3</v>
      </c>
      <c r="D40" s="10" t="s">
        <v>4</v>
      </c>
      <c r="E40" s="10" t="s">
        <v>119</v>
      </c>
      <c r="F40" s="10" t="s">
        <v>120</v>
      </c>
      <c r="G40" s="10" t="s">
        <v>121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122</v>
      </c>
      <c r="O40" s="10" t="s">
        <v>15</v>
      </c>
      <c r="P40" s="10" t="s">
        <v>16</v>
      </c>
      <c r="Q40" s="10" t="s">
        <v>123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50" t="s">
        <v>47</v>
      </c>
      <c r="B41" s="151" t="s">
        <v>124</v>
      </c>
      <c r="C41" s="152" t="s">
        <v>49</v>
      </c>
      <c r="D41" s="143" t="s">
        <v>125</v>
      </c>
      <c r="E41" s="121" t="s">
        <v>95</v>
      </c>
      <c r="F41" s="121" t="s">
        <v>95</v>
      </c>
      <c r="G41" s="121" t="s">
        <v>95</v>
      </c>
      <c r="H41" s="122" t="s">
        <v>51</v>
      </c>
      <c r="I41" s="121" t="s">
        <v>33</v>
      </c>
      <c r="J41" s="138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58"/>
      <c r="Y41" s="128"/>
      <c r="Z41" s="128"/>
      <c r="AA41" s="118" t="s">
        <v>124</v>
      </c>
      <c r="AC41" s="12"/>
    </row>
    <row r="42" spans="1:29" ht="23.15" customHeight="1" x14ac:dyDescent="0.35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58"/>
      <c r="Y42" s="128"/>
      <c r="Z42" s="128"/>
      <c r="AA42" s="145"/>
    </row>
    <row r="43" spans="1:29" x14ac:dyDescent="0.35">
      <c r="A43" s="136" t="s">
        <v>26</v>
      </c>
      <c r="B43" s="125" t="s">
        <v>126</v>
      </c>
      <c r="C43" s="137" t="s">
        <v>93</v>
      </c>
      <c r="D43" s="105" t="s">
        <v>127</v>
      </c>
      <c r="E43" s="104" t="s">
        <v>95</v>
      </c>
      <c r="F43" s="104" t="s">
        <v>95</v>
      </c>
      <c r="G43" s="104" t="s">
        <v>95</v>
      </c>
      <c r="H43" s="103" t="s">
        <v>32</v>
      </c>
      <c r="I43" s="104" t="s">
        <v>33</v>
      </c>
      <c r="J43" s="102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46" t="s">
        <v>128</v>
      </c>
      <c r="Y43" s="141" t="s">
        <v>129</v>
      </c>
      <c r="Z43" s="140"/>
      <c r="AA43" s="156" t="s">
        <v>130</v>
      </c>
    </row>
    <row r="44" spans="1:29" x14ac:dyDescent="0.35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3" t="s">
        <v>55</v>
      </c>
      <c r="L44" s="22" t="s">
        <v>96</v>
      </c>
      <c r="M44" s="22" t="s">
        <v>96</v>
      </c>
      <c r="N44" s="17">
        <v>4.2000000000000003E-2</v>
      </c>
      <c r="O44" s="22" t="s">
        <v>96</v>
      </c>
      <c r="P44" s="22" t="s">
        <v>96</v>
      </c>
      <c r="Q44" s="17">
        <v>0.04</v>
      </c>
      <c r="R44" s="22" t="s">
        <v>96</v>
      </c>
      <c r="S44" s="22" t="s">
        <v>96</v>
      </c>
      <c r="T44" s="57"/>
      <c r="U44" s="22" t="s">
        <v>96</v>
      </c>
      <c r="V44" s="22" t="s">
        <v>96</v>
      </c>
      <c r="W44" s="57"/>
      <c r="X44" s="146"/>
      <c r="Y44" s="141"/>
      <c r="Z44" s="140"/>
      <c r="AA44" s="156"/>
    </row>
    <row r="45" spans="1:29" x14ac:dyDescent="0.35">
      <c r="A45" s="136"/>
      <c r="B45" s="125" t="s">
        <v>131</v>
      </c>
      <c r="C45" s="137" t="s">
        <v>93</v>
      </c>
      <c r="D45" s="105" t="s">
        <v>132</v>
      </c>
      <c r="E45" s="104" t="s">
        <v>95</v>
      </c>
      <c r="F45" s="104" t="s">
        <v>95</v>
      </c>
      <c r="G45" s="104" t="s">
        <v>95</v>
      </c>
      <c r="H45" s="103" t="s">
        <v>32</v>
      </c>
      <c r="I45" s="104" t="s">
        <v>33</v>
      </c>
      <c r="J45" s="139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46"/>
      <c r="Y45" s="141" t="s">
        <v>133</v>
      </c>
      <c r="Z45" s="157">
        <v>46188</v>
      </c>
      <c r="AA45" s="145" t="s">
        <v>131</v>
      </c>
    </row>
    <row r="46" spans="1:29" ht="16.5" customHeight="1" x14ac:dyDescent="0.35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46"/>
      <c r="Y46" s="140"/>
      <c r="Z46" s="140"/>
      <c r="AA46" s="145"/>
    </row>
    <row r="47" spans="1:29" x14ac:dyDescent="0.35">
      <c r="A47" s="136"/>
      <c r="B47" s="125" t="s">
        <v>134</v>
      </c>
      <c r="C47" s="137" t="s">
        <v>90</v>
      </c>
      <c r="D47" s="105" t="s">
        <v>135</v>
      </c>
      <c r="E47" s="104" t="s">
        <v>95</v>
      </c>
      <c r="F47" s="104" t="s">
        <v>95</v>
      </c>
      <c r="G47" s="104" t="s">
        <v>95</v>
      </c>
      <c r="H47" s="103" t="s">
        <v>32</v>
      </c>
      <c r="I47" s="104" t="s">
        <v>82</v>
      </c>
      <c r="J47" s="139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46"/>
      <c r="Y47" s="140"/>
      <c r="Z47" s="140"/>
      <c r="AA47" s="105" t="s">
        <v>136</v>
      </c>
    </row>
    <row r="48" spans="1:29" ht="20.5" customHeight="1" x14ac:dyDescent="0.35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46"/>
      <c r="Y48" s="140"/>
      <c r="Z48" s="140"/>
      <c r="AA48" s="105"/>
    </row>
    <row r="49" spans="1:27" x14ac:dyDescent="0.35">
      <c r="A49" s="90" t="s">
        <v>137</v>
      </c>
      <c r="B49" s="142" t="s">
        <v>138</v>
      </c>
      <c r="C49" s="137" t="s">
        <v>69</v>
      </c>
      <c r="D49" s="105" t="s">
        <v>139</v>
      </c>
      <c r="E49" s="104">
        <v>74</v>
      </c>
      <c r="F49" s="104" t="s">
        <v>95</v>
      </c>
      <c r="G49" s="104" t="s">
        <v>95</v>
      </c>
      <c r="H49" s="103" t="s">
        <v>32</v>
      </c>
      <c r="I49" s="104" t="s">
        <v>33</v>
      </c>
      <c r="J49" s="106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46"/>
      <c r="Y49" s="141"/>
      <c r="Z49" s="140"/>
      <c r="AA49" s="145" t="s">
        <v>140</v>
      </c>
    </row>
    <row r="50" spans="1:27" x14ac:dyDescent="0.35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46"/>
      <c r="Y50" s="141"/>
      <c r="Z50" s="140"/>
      <c r="AA50" s="145"/>
    </row>
    <row r="51" spans="1:27" x14ac:dyDescent="0.35">
      <c r="A51" s="136" t="s">
        <v>25</v>
      </c>
      <c r="B51" s="125" t="s">
        <v>141</v>
      </c>
      <c r="C51" s="137" t="s">
        <v>74</v>
      </c>
      <c r="D51" s="105" t="s">
        <v>142</v>
      </c>
      <c r="E51" s="104">
        <v>33.1</v>
      </c>
      <c r="F51" s="104" t="s">
        <v>95</v>
      </c>
      <c r="G51" s="104" t="s">
        <v>95</v>
      </c>
      <c r="H51" s="103" t="s">
        <v>32</v>
      </c>
      <c r="I51" s="104" t="s">
        <v>33</v>
      </c>
      <c r="J51" s="106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46"/>
      <c r="Y51" s="140"/>
      <c r="Z51" s="140"/>
      <c r="AA51" s="123" t="s">
        <v>143</v>
      </c>
    </row>
    <row r="52" spans="1:27" ht="15" thickBot="1" x14ac:dyDescent="0.4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46"/>
      <c r="Y52" s="140"/>
      <c r="Z52" s="140"/>
      <c r="AA52" s="12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6" stopIfTrue="1">
      <formula>AND(OR($H26="Higher the better", $H26="Higher the Better"), L27&gt;=L26)</formula>
    </cfRule>
    <cfRule type="expression" dxfId="65" priority="75">
      <formula>AND(OR($H26="Higher the better", $H26="Higher the Better"), L27&lt;L26)</formula>
    </cfRule>
    <cfRule type="expression" dxfId="64" priority="74">
      <formula>AND(OR($H26="Lower the better", $H26="Lower the Better"), L27&lt;=L26)</formula>
    </cfRule>
    <cfRule type="expression" dxfId="63" priority="73">
      <formula>AND(OR($H26="Lower the better", $H26="Lower the Better"), L27&gt;L26)</formula>
    </cfRule>
  </conditionalFormatting>
  <conditionalFormatting sqref="L7:W7 L9:W9 L11:W11 L13:W13 L15:W15 L17:W17 L19:W19 L21:W21 L23:W23 M27:W27 L29:W29 L31:W31 L33:W33 N35 Q35 T35:W35 O37 S37:W37">
    <cfRule type="expression" dxfId="62" priority="244">
      <formula xml:space="preserve"> AND(OR($H6="Higher the better", $H6="Higher the Better"), L7&gt;= L6)</formula>
    </cfRule>
    <cfRule type="expression" dxfId="61" priority="69">
      <formula>AND(OR($H6="Lower the better", $H6="Lower the better"), L7&gt; L6)</formula>
    </cfRule>
    <cfRule type="expression" dxfId="60" priority="242">
      <formula>AND(OR($H6="Lower the better", $H6= "Lower the Better"), L7 &lt;= L6)</formula>
    </cfRule>
    <cfRule type="expression" dxfId="59" priority="243">
      <formula>AND(OR($H6="Higher the better", $H6="Higher the Better"), L7 &lt;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2">
      <formula>AND(OR($H45="Higher the better", $H45="Higher the Better"), L46&lt;L45)</formula>
    </cfRule>
    <cfRule type="expression" dxfId="54" priority="170">
      <formula>AND(OR($H45="Lower the better", $H45="Lower the Better"), L46&gt;L45)</formula>
    </cfRule>
    <cfRule type="expression" dxfId="53" priority="171">
      <formula>AND(OR($H45="Lower the better", $H45="Lower the Better"), L46&lt;=L45)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expression" dxfId="51" priority="102">
      <formula>AND(OR($H51="Higher the better", $H51="Higher the Better"), L52&lt;L51)</formula>
    </cfRule>
    <cfRule type="expression" dxfId="50" priority="101">
      <formula>AND(OR($H51="Lower the better", $H51="Lower the Better"), L52&lt;=L51)</formula>
    </cfRule>
    <cfRule type="containsBlanks" dxfId="49" priority="99">
      <formula>LEN(TRIM(L52))=0</formula>
    </cfRule>
    <cfRule type="expression" dxfId="48" priority="100">
      <formula>AND(OR($H51="Lower the better", $H51="Lower the Better"), L52&gt;L51)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expression" dxfId="46" priority="66" stopIfTrue="1">
      <formula>AND(OR($H24="Higher the better", $H24="Higher the Better"), L25&gt;=L24)</formula>
    </cfRule>
    <cfRule type="expression" dxfId="45" priority="65">
      <formula>AND(OR($H24="Higher the better", $H24="Higher the Better"), L25&lt;L24)</formula>
    </cfRule>
    <cfRule type="expression" dxfId="44" priority="63">
      <formula>AND(OR($H24="Lower the better", $H24="Lower the Better"), L25&gt;L24)</formula>
    </cfRule>
    <cfRule type="containsBlanks" dxfId="43" priority="62">
      <formula>LEN(TRIM(L25))=0</formula>
    </cfRule>
    <cfRule type="expression" dxfId="42" priority="64">
      <formula>AND(OR($H24="Lower the better", $H24="Lower the Better"), L25&lt;=L24)</formula>
    </cfRule>
  </conditionalFormatting>
  <conditionalFormatting sqref="N25">
    <cfRule type="expression" dxfId="41" priority="13">
      <formula>AND(OR($H24="Lower the better", $H24="Lower the Better"), N25&lt;=N24)</formula>
    </cfRule>
    <cfRule type="expression" dxfId="40" priority="12">
      <formula>AND(OR($H24="Lower the better", $H24="Lower the Better"), N25&gt;N24)</formula>
    </cfRule>
    <cfRule type="containsBlanks" dxfId="39" priority="11">
      <formula>LEN(TRIM(N25))=0</formula>
    </cfRule>
    <cfRule type="expression" dxfId="38" priority="20" stopIfTrue="1">
      <formula>AND(OR($H24="Higher the better", $H24="Higher the Better"), N25&gt;=N24)</formula>
    </cfRule>
    <cfRule type="expression" dxfId="37" priority="17">
      <formula>AND(OR($H24="Lower the better", $H24="Lower the Better"), N25&gt;N24)</formula>
    </cfRule>
    <cfRule type="expression" dxfId="36" priority="19">
      <formula>AND(OR($H24="Higher the better", $H24="Higher the Better"), N25&lt;N24)</formula>
    </cfRule>
    <cfRule type="containsBlanks" dxfId="35" priority="16">
      <formula>LEN(TRIM(N25))=0</formula>
    </cfRule>
    <cfRule type="expression" dxfId="34" priority="15" stopIfTrue="1">
      <formula>AND(OR($H24="Higher the better", $H24="Higher the Better"), N25&gt;=N24)</formula>
    </cfRule>
    <cfRule type="expression" dxfId="33" priority="18">
      <formula>AND(OR($H24="Lower the better", $H24="Lower the Better"), N25&lt;=N24)</formula>
    </cfRule>
    <cfRule type="expression" dxfId="32" priority="14">
      <formula>AND(OR($H24="Higher the better", $H24="Higher the Better"), N25&lt;N24)</formula>
    </cfRule>
  </conditionalFormatting>
  <conditionalFormatting sqref="N44">
    <cfRule type="expression" dxfId="31" priority="60">
      <formula>AND(OR($H43="Higher the better", $H43="Higher the Better"), N44&lt;N43)</formula>
    </cfRule>
    <cfRule type="expression" dxfId="30" priority="61" stopIfTrue="1">
      <formula>AND(OR($H43="Higher the better", $H43="Higher the Better"), N44&gt;=N43)</formula>
    </cfRule>
    <cfRule type="containsBlanks" dxfId="29" priority="57">
      <formula>LEN(TRIM(N44))=0</formula>
    </cfRule>
    <cfRule type="expression" dxfId="28" priority="58">
      <formula>AND(OR($H43="Lower the better", $H43="Lower the Better"), N44&gt;N43)</formula>
    </cfRule>
    <cfRule type="expression" dxfId="27" priority="59">
      <formula>AND(OR($H43="Lower the better", $H43="Lower the Better"), N44&lt;=N43)</formula>
    </cfRule>
  </conditionalFormatting>
  <conditionalFormatting sqref="Q25">
    <cfRule type="expression" dxfId="26" priority="25" stopIfTrue="1">
      <formula>AND(OR($H24="Higher the better", $H24="Higher the Better"), Q25&gt;=Q24)</formula>
    </cfRule>
    <cfRule type="expression" dxfId="25" priority="24">
      <formula>AND(OR($H24="Higher the better", $H24="Higher the Better"), Q25&lt;Q24)</formula>
    </cfRule>
    <cfRule type="expression" dxfId="24" priority="23">
      <formula>AND(OR($H24="Lower the better", $H24="Lower the Better"), Q25&lt;=Q24)</formula>
    </cfRule>
    <cfRule type="expression" dxfId="23" priority="22">
      <formula>AND(OR($H24="Lower the better", $H24="Lower the Better"), Q25&gt;Q24)</formula>
    </cfRule>
    <cfRule type="containsBlanks" dxfId="22" priority="21">
      <formula>LEN(TRIM(Q25))=0</formula>
    </cfRule>
  </conditionalFormatting>
  <conditionalFormatting sqref="Q37">
    <cfRule type="expression" dxfId="21" priority="5">
      <formula xml:space="preserve"> AND(OR($H36="Higher the better", $H36="Higher the Better"), Q37&gt;= Q36)</formula>
    </cfRule>
    <cfRule type="expression" dxfId="20" priority="4">
      <formula>AND(OR($H36="Higher the better", $H36="Higher the Better"), Q37 &lt; Q36)</formula>
    </cfRule>
    <cfRule type="expression" dxfId="19" priority="3">
      <formula>AND(OR($H36="Lower the better", $H36= "Lower the Better"), Q37 &lt;= Q36)</formula>
    </cfRule>
    <cfRule type="expression" dxfId="18" priority="1">
      <formula>AND(OR($H36="Lower the better", $H36="Lower the better"), Q37&gt; Q36)</formula>
    </cfRule>
    <cfRule type="containsBlanks" dxfId="17" priority="2">
      <formula>LEN(TRIM(Q37))=0</formula>
    </cfRule>
  </conditionalFormatting>
  <conditionalFormatting sqref="Q44">
    <cfRule type="expression" dxfId="16" priority="10" stopIfTrue="1">
      <formula>AND(OR($H43="Higher the better", $H43="Higher the Better"), Q44&gt;=Q43)</formula>
    </cfRule>
    <cfRule type="expression" dxfId="15" priority="9">
      <formula>AND(OR($H43="Higher the better", $H43="Higher the Better"), Q44&lt;Q43)</formula>
    </cfRule>
    <cfRule type="expression" dxfId="14" priority="8">
      <formula>AND(OR($H43="Lower the better", $H43="Lower the Better"), Q44&lt;=Q43)</formula>
    </cfRule>
    <cfRule type="expression" dxfId="13" priority="7">
      <formula>AND(OR($H43="Lower the better", $H43="Lower the Better"), Q44&gt;Q43)</formula>
    </cfRule>
    <cfRule type="containsBlanks" dxfId="12" priority="6">
      <formula>LEN(TRIM(Q44))=0</formula>
    </cfRule>
  </conditionalFormatting>
  <conditionalFormatting sqref="T44">
    <cfRule type="expression" dxfId="11" priority="51" stopIfTrue="1">
      <formula>AND(OR($H43="Higher the better", $H43="Higher the Better"), T44&gt;=T43)</formula>
    </cfRule>
    <cfRule type="expression" dxfId="10" priority="50">
      <formula>AND(OR($H43="Higher the better", $H43="Higher the Better"), T44&lt;T43)</formula>
    </cfRule>
    <cfRule type="expression" dxfId="9" priority="49">
      <formula>AND(OR($H43="Lower the better", $H43="Lower the Better"), T44&lt;=T43)</formula>
    </cfRule>
    <cfRule type="expression" dxfId="8" priority="48">
      <formula>AND(OR($H43="Lower the better", $H43="Lower the Better"), T44&gt;T43)</formula>
    </cfRule>
    <cfRule type="containsBlanks" dxfId="7" priority="47">
      <formula>LEN(TRIM(T44))=0</formula>
    </cfRule>
  </conditionalFormatting>
  <conditionalFormatting sqref="W44">
    <cfRule type="expression" dxfId="6" priority="43">
      <formula>AND(OR($H43="Lower the better", $H43="Lower the Better"), W44&gt;W43)</formula>
    </cfRule>
    <cfRule type="containsBlanks" dxfId="5" priority="42">
      <formula>LEN(TRIM(W44))=0</formula>
    </cfRule>
    <cfRule type="expression" dxfId="4" priority="46" stopIfTrue="1">
      <formula>AND(OR($H43="Higher the better", $H43="Higher the Better"), W44&gt;=W43)</formula>
    </cfRule>
    <cfRule type="expression" dxfId="3" priority="45">
      <formula>AND(OR($H43="Higher the better", $H43="Higher the Better"), W44&lt;W43)</formula>
    </cfRule>
    <cfRule type="expression" dxfId="2" priority="44">
      <formula>AND(OR($H43="Lower the better", $H43="Lower the Better"), W44&lt;=W43)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e40374fb-a6cc-4854-989f-c1d94a7967ee" ContentTypeId="0x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94BB51-7951-4F88-97F3-C0EC6D9471D8}">
  <ds:schemaRefs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68108f69-118e-4385-83b3-00743b1bf54c"/>
    <ds:schemaRef ds:uri="http://schemas.openxmlformats.org/package/2006/metadata/core-properties"/>
    <ds:schemaRef ds:uri="f5a961e1-edc1-4f62-8655-e8a46ef79e5c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B30175AE-D1AB-4BF3-B1A2-8C5D0A906D05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Phukan, Sandip</cp:lastModifiedBy>
  <cp:revision/>
  <dcterms:created xsi:type="dcterms:W3CDTF">2026-01-28T08:54:22Z</dcterms:created>
  <dcterms:modified xsi:type="dcterms:W3CDTF">2026-10-08T10:09:32Z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
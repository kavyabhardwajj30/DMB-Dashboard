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33" documentId="8_{9B9C04DA-ABE2-4E9B-9FCF-AA5C7C703189}" xr6:coauthVersionLast="47" xr6:coauthVersionMax="47" xr10:uidLastSave="{EAE97006-85EC-4024-8602-2E985E083A89}"/>
  <bookViews>
    <workbookView xWindow="-110" yWindow="-110" windowWidth="19420" windowHeight="115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<sst xmlns="http://schemas.openxmlformats.org/spreadsheetml/2006/main" count="495" uniqueCount="144">
  <si>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</si>
  <si>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</si>
  <si>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</si>
  <si>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</si>
  <si>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</si>
  <si>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</si>
  <si>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</si>
  <si>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</si>
  <si>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</si>
  <si>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</si>
  <si>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</si>
  <si>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</si>
  <si>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</si>
  <si>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</si>
  <si>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</si>
  <si>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</si>
  <si>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</si>
  <si>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</si>
  <si>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</si>
  <si>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</si>
  <si>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</si>
  <si>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</si>
  <si>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</si>
  <si>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</si>
  <si>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</si>
  <si>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</si>
  <si>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</si>
  <si>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</si>
  <si>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</si>
  <si>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</si>
  <si>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</si>
  <si>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</si>
  <si>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</si>
  <si>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</si>
  <si>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</si>
  <si>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</si>
  <si>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</si>
  <si>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</si>
  <si>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</si>
  <si>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</si>
  <si>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</si>
  <si>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</si>
  <si>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</si>
  <si>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</si>
  <si>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</si>
  <si>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</si>
  <si>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</si>
  <si>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</si>
  <si>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</si>
  <si>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</si>
  <si>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</si>
  <si>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</si>
  <si>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</si>
  <si>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</si>
  <si>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</si>
  <si>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</si>
  <si>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</si>
  <si>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</si>
  <si>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</si>
  <si>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</si>
  <si>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</si>
  <si>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</si>
  <si>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</si>
  <si>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</si>
  <si>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</si>
  <si>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</si>
  <si>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</si>
  <si>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</si>
  <si>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</si>
  <si>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</si>
  <si>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</si>
  <si>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</si>
  <si>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</si>
  <si>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</si>
  <si>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</si>
  <si>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</si>
  <si>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</si>
  <si>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</si>
  <si>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</si>
  <si>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</si>
  <si>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</si>
  <si>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</si>
  <si>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</si>
  <si>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</si>
  <si>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</si>
  <si>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</si>
  <si>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</si>
  <si>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</si>
  <si>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</si>
  <si>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</si>
  <si>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</si>
  <si>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</si>
  <si>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</si>
  <si>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</si>
  <si>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</si>
  <si>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</si>
  <si>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</si>
  <si>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</si>
  <si>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</si>
  <si>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</si>
  <si>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</si>
  <si>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</si>
  <si>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</si>
  <si>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</si>
  <si>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</si>
  <si>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</si>
  <si>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</si>
  <si>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</si>
  <si>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</si>
  <si>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</si>
  <si>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</si>
  <si>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</si>
  <si>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</si>
  <si>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</si>
  <si>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</si>
  <si>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</si>
  <si>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</si>
  <si>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</si>
  <si>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</si>
  <si>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</si>
  <si>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</si>
  <si>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</si>
  <si>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</si>
  <si>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</si>
  <si>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</si>
  <si>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</si>
  <si>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</si>
  <si>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</si>
  <si>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</si>
  <si>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</si>
  <si>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</si>
  <si>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</si>
  <si>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</si>
  <si>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</si>
  <si>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</si>
  <si>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</si>
  <si>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</si>
  <si>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</si>
  <si>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</si>
  <si>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</si>
  <si>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</si>
  <si>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</si>
  <si>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</si>
  <si>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0.8% Gap VS AOP. YoY improvement by 0.7% excluding GRC, Win back campaign impact in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</si>
</sst>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>
        <f>IF('AOP Critical'!T42="","",'AOP Critical'!T42)</f>
        <v>1.7000000000000001E-2</v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>
        <f>IF('AOP Critical'!T14="","",'AOP Critical'!T14)</f>
        <v>0.54610000000000003</v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>
        <f>IF('AOP Critical'!T15="","",'AOP Critical'!T15)</f>
        <v>0.53749999999999998</v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>
        <f>IF('AOP Critical'!T50="","",'AOP Critical'!T50)</f>
        <v>0.74770000000000003</v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6" activePane="bottomLeft" state="frozen"/>
      <selection pane="bottomLeft" activeCell="T6" sqref="T6:T10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8" t="s">
        <v>40</v>
      </c>
      <c r="B3" s="108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10" t="str">
        <f ca="1">"Current Month-Year " &amp; ":" &amp; TEXT(TODAY(),"YYYY-MM")</f>
        <v>Current Month-Year :2026-10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14" t="s">
        <v>5</v>
      </c>
      <c r="F5" s="114"/>
      <c r="G5" s="11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7" t="s">
        <v>47</v>
      </c>
      <c r="B6" s="91" t="s">
        <v>48</v>
      </c>
      <c r="C6" s="92" t="s">
        <v>49</v>
      </c>
      <c r="D6" s="90" t="s">
        <v>50</v>
      </c>
      <c r="E6" s="106">
        <v>10</v>
      </c>
      <c r="F6" s="106"/>
      <c r="G6" s="106"/>
      <c r="H6" s="109" t="s">
        <v>51</v>
      </c>
      <c r="I6" s="106" t="s">
        <v>33</v>
      </c>
      <c r="J6" s="105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4"/>
      <c r="Y6" s="111"/>
      <c r="Z6" s="111"/>
      <c r="AA6" s="121" t="s">
        <v>54</v>
      </c>
    </row>
    <row r="7" spans="1:27" x14ac:dyDescent="0.35">
      <c r="A7" s="107"/>
      <c r="B7" s="91"/>
      <c r="C7" s="92"/>
      <c r="D7" s="90"/>
      <c r="E7" s="106"/>
      <c r="F7" s="106"/>
      <c r="G7" s="106"/>
      <c r="H7" s="109"/>
      <c r="I7" s="106"/>
      <c r="J7" s="105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94"/>
      <c r="Y7" s="96"/>
      <c r="Z7" s="96"/>
      <c r="AA7" s="122"/>
    </row>
    <row r="8" spans="1:27" x14ac:dyDescent="0.35">
      <c r="A8" s="107"/>
      <c r="B8" s="91" t="s">
        <v>56</v>
      </c>
      <c r="C8" s="92" t="s">
        <v>49</v>
      </c>
      <c r="D8" s="90" t="s">
        <v>57</v>
      </c>
      <c r="E8" s="106">
        <v>90</v>
      </c>
      <c r="F8" s="106"/>
      <c r="G8" s="106"/>
      <c r="H8" s="109" t="s">
        <v>32</v>
      </c>
      <c r="I8" s="106" t="s">
        <v>33</v>
      </c>
      <c r="J8" s="105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2">
        <v>46231</v>
      </c>
      <c r="AA8" s="121" t="s">
        <v>59</v>
      </c>
    </row>
    <row r="9" spans="1:27" x14ac:dyDescent="0.35">
      <c r="A9" s="107"/>
      <c r="B9" s="91"/>
      <c r="C9" s="92"/>
      <c r="D9" s="90"/>
      <c r="E9" s="106"/>
      <c r="F9" s="106"/>
      <c r="G9" s="106"/>
      <c r="H9" s="109"/>
      <c r="I9" s="106"/>
      <c r="J9" s="105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3"/>
      <c r="AA9" s="122"/>
    </row>
    <row r="10" spans="1:27" x14ac:dyDescent="0.35">
      <c r="A10" s="107"/>
      <c r="B10" s="91" t="s">
        <v>60</v>
      </c>
      <c r="C10" s="92" t="s">
        <v>49</v>
      </c>
      <c r="D10" s="90" t="s">
        <v>61</v>
      </c>
      <c r="E10" s="106">
        <v>1</v>
      </c>
      <c r="F10" s="106"/>
      <c r="G10" s="106"/>
      <c r="H10" s="109" t="s">
        <v>51</v>
      </c>
      <c r="I10" s="106" t="s">
        <v>62</v>
      </c>
      <c r="J10" s="105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1"/>
      <c r="Z10" s="115"/>
      <c r="AA10" s="121" t="s">
        <v>63</v>
      </c>
    </row>
    <row r="11" spans="1:27" ht="15" thickBot="1" x14ac:dyDescent="0.4">
      <c r="A11" s="107"/>
      <c r="B11" s="91"/>
      <c r="C11" s="92"/>
      <c r="D11" s="90"/>
      <c r="E11" s="106"/>
      <c r="F11" s="106"/>
      <c r="G11" s="106"/>
      <c r="H11" s="109"/>
      <c r="I11" s="106"/>
      <c r="J11" s="105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2"/>
      <c r="Z11" s="116"/>
      <c r="AA11" s="122"/>
    </row>
    <row r="12" spans="1:27" x14ac:dyDescent="0.35">
      <c r="A12" s="107" t="s">
        <v>24</v>
      </c>
      <c r="B12" s="93" t="s">
        <v>64</v>
      </c>
      <c r="C12" s="93" t="s">
        <v>65</v>
      </c>
      <c r="D12" s="90" t="s">
        <v>66</v>
      </c>
      <c r="E12" s="106">
        <v>84</v>
      </c>
      <c r="F12" s="106"/>
      <c r="G12" s="106"/>
      <c r="H12" s="109" t="s">
        <v>32</v>
      </c>
      <c r="I12" s="106" t="s">
        <v>33</v>
      </c>
      <c r="J12" s="105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4"/>
      <c r="Y12" s="95"/>
      <c r="Z12" s="96"/>
      <c r="AA12" s="121" t="s">
        <v>67</v>
      </c>
    </row>
    <row r="13" spans="1:27" x14ac:dyDescent="0.35">
      <c r="A13" s="107"/>
      <c r="B13" s="93"/>
      <c r="C13" s="93"/>
      <c r="D13" s="90"/>
      <c r="E13" s="106"/>
      <c r="F13" s="106"/>
      <c r="G13" s="106"/>
      <c r="H13" s="109"/>
      <c r="I13" s="106"/>
      <c r="J13" s="105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94"/>
      <c r="Y13" s="96"/>
      <c r="Z13" s="96"/>
      <c r="AA13" s="122"/>
    </row>
    <row r="14" spans="1:27" x14ac:dyDescent="0.35">
      <c r="A14" s="107"/>
      <c r="B14" s="93" t="s">
        <v>68</v>
      </c>
      <c r="C14" s="120" t="s">
        <v>69</v>
      </c>
      <c r="D14" s="90" t="s">
        <v>70</v>
      </c>
      <c r="E14" s="106">
        <v>54.6</v>
      </c>
      <c r="F14" s="106"/>
      <c r="G14" s="106"/>
      <c r="H14" s="109" t="s">
        <v>32</v>
      </c>
      <c r="I14" s="106" t="s">
        <v>33</v>
      </c>
      <c r="J14" s="105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94" t="s">
        <v>143</v>
      </c>
      <c r="Y14" s="150" t="s">
        <v>71</v>
      </c>
      <c r="Z14" s="150"/>
      <c r="AA14" s="149"/>
    </row>
    <row r="15" spans="1:27" ht="15" thickBot="1" x14ac:dyDescent="0.4">
      <c r="A15" s="107"/>
      <c r="B15" s="93"/>
      <c r="C15" s="120"/>
      <c r="D15" s="90"/>
      <c r="E15" s="106"/>
      <c r="F15" s="106"/>
      <c r="G15" s="106"/>
      <c r="H15" s="109"/>
      <c r="I15" s="106"/>
      <c r="J15" s="105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79">
        <v>0.53749999999999998</v>
      </c>
      <c r="U15" s="32"/>
      <c r="V15" s="32"/>
      <c r="W15" s="33"/>
      <c r="X15" s="94"/>
      <c r="Y15" s="111"/>
      <c r="Z15" s="111"/>
      <c r="AA15" s="129"/>
    </row>
    <row r="16" spans="1:27" x14ac:dyDescent="0.35">
      <c r="A16" s="107" t="s">
        <v>25</v>
      </c>
      <c r="B16" s="93" t="s">
        <v>72</v>
      </c>
      <c r="C16" s="93" t="s">
        <v>73</v>
      </c>
      <c r="D16" s="90" t="s">
        <v>74</v>
      </c>
      <c r="E16" s="106" t="s">
        <v>75</v>
      </c>
      <c r="F16" s="106"/>
      <c r="G16" s="106"/>
      <c r="H16" s="109" t="s">
        <v>32</v>
      </c>
      <c r="I16" s="106" t="s">
        <v>33</v>
      </c>
      <c r="J16" s="105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76</v>
      </c>
      <c r="Y16" s="95" t="s">
        <v>77</v>
      </c>
      <c r="Z16" s="113"/>
      <c r="AA16" s="121" t="s">
        <v>78</v>
      </c>
    </row>
    <row r="17" spans="1:27" x14ac:dyDescent="0.35">
      <c r="A17" s="107"/>
      <c r="B17" s="93"/>
      <c r="C17" s="93"/>
      <c r="D17" s="90"/>
      <c r="E17" s="106"/>
      <c r="F17" s="106"/>
      <c r="G17" s="106"/>
      <c r="H17" s="109"/>
      <c r="I17" s="106"/>
      <c r="J17" s="105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3"/>
      <c r="AA17" s="122"/>
    </row>
    <row r="18" spans="1:27" x14ac:dyDescent="0.35">
      <c r="A18" s="107"/>
      <c r="B18" s="93" t="s">
        <v>79</v>
      </c>
      <c r="C18" s="93" t="s">
        <v>73</v>
      </c>
      <c r="D18" s="93" t="s">
        <v>80</v>
      </c>
      <c r="E18" s="106" t="s">
        <v>75</v>
      </c>
      <c r="F18" s="106"/>
      <c r="G18" s="106"/>
      <c r="H18" s="109" t="s">
        <v>32</v>
      </c>
      <c r="I18" s="106" t="s">
        <v>81</v>
      </c>
      <c r="J18" s="105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55" t="s">
        <v>142</v>
      </c>
      <c r="Y18" s="155"/>
      <c r="Z18" s="152">
        <v>46108</v>
      </c>
      <c r="AA18" s="154"/>
    </row>
    <row r="19" spans="1:27" ht="18.649999999999999" customHeight="1" x14ac:dyDescent="0.35">
      <c r="A19" s="107"/>
      <c r="B19" s="93"/>
      <c r="C19" s="93"/>
      <c r="D19" s="93"/>
      <c r="E19" s="106"/>
      <c r="F19" s="106"/>
      <c r="G19" s="106"/>
      <c r="H19" s="109"/>
      <c r="I19" s="106"/>
      <c r="J19" s="105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55"/>
      <c r="Y19" s="155"/>
      <c r="Z19" s="153"/>
      <c r="AA19" s="154"/>
    </row>
    <row r="20" spans="1:27" ht="24" customHeight="1" x14ac:dyDescent="0.35">
      <c r="A20" s="107"/>
      <c r="B20" s="93" t="s">
        <v>82</v>
      </c>
      <c r="C20" s="93" t="s">
        <v>65</v>
      </c>
      <c r="D20" s="90" t="s">
        <v>83</v>
      </c>
      <c r="E20" s="106" t="s">
        <v>75</v>
      </c>
      <c r="F20" s="106"/>
      <c r="G20" s="106"/>
      <c r="H20" s="109" t="s">
        <v>51</v>
      </c>
      <c r="I20" s="106" t="s">
        <v>33</v>
      </c>
      <c r="J20" s="105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69" t="s">
        <v>84</v>
      </c>
      <c r="Y20" s="99" t="s">
        <v>85</v>
      </c>
      <c r="Z20" s="151"/>
      <c r="AA20" s="123" t="s">
        <v>86</v>
      </c>
    </row>
    <row r="21" spans="1:27" ht="32" customHeight="1" thickBot="1" x14ac:dyDescent="0.4">
      <c r="A21" s="107"/>
      <c r="B21" s="93"/>
      <c r="C21" s="93"/>
      <c r="D21" s="90"/>
      <c r="E21" s="106"/>
      <c r="F21" s="106"/>
      <c r="G21" s="106"/>
      <c r="H21" s="109"/>
      <c r="I21" s="106"/>
      <c r="J21" s="105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0"/>
      <c r="Y21" s="100"/>
      <c r="Z21" s="117"/>
      <c r="AA21" s="123"/>
    </row>
    <row r="22" spans="1:27" ht="16" customHeight="1" x14ac:dyDescent="0.35">
      <c r="A22" s="107" t="s">
        <v>26</v>
      </c>
      <c r="B22" s="93" t="s">
        <v>87</v>
      </c>
      <c r="C22" s="120" t="s">
        <v>88</v>
      </c>
      <c r="D22" s="93" t="s">
        <v>89</v>
      </c>
      <c r="E22" s="106">
        <v>90</v>
      </c>
      <c r="F22" s="106"/>
      <c r="G22" s="106"/>
      <c r="H22" s="109" t="s">
        <v>32</v>
      </c>
      <c r="I22" s="106" t="s">
        <v>33</v>
      </c>
      <c r="J22" s="105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3"/>
      <c r="Y22" s="95"/>
      <c r="Z22" s="112">
        <v>46257</v>
      </c>
      <c r="AA22" s="159"/>
    </row>
    <row r="23" spans="1:27" ht="17.149999999999999" customHeight="1" thickBot="1" x14ac:dyDescent="0.4">
      <c r="A23" s="166"/>
      <c r="B23" s="93"/>
      <c r="C23" s="120"/>
      <c r="D23" s="93"/>
      <c r="E23" s="106"/>
      <c r="F23" s="106"/>
      <c r="G23" s="106"/>
      <c r="H23" s="109"/>
      <c r="I23" s="106"/>
      <c r="J23" s="105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4"/>
      <c r="Y23" s="96"/>
      <c r="Z23" s="113"/>
      <c r="AA23" s="160"/>
    </row>
    <row r="24" spans="1:27" ht="17.5" customHeight="1" x14ac:dyDescent="0.35">
      <c r="A24" s="141" t="s">
        <v>27</v>
      </c>
      <c r="B24" s="93" t="s">
        <v>90</v>
      </c>
      <c r="C24" s="120" t="s">
        <v>91</v>
      </c>
      <c r="D24" s="90" t="s">
        <v>92</v>
      </c>
      <c r="E24" s="106" t="s">
        <v>93</v>
      </c>
      <c r="F24" s="106" t="s">
        <v>93</v>
      </c>
      <c r="G24" s="106" t="s">
        <v>93</v>
      </c>
      <c r="H24" s="109" t="s">
        <v>32</v>
      </c>
      <c r="I24" s="106" t="s">
        <v>33</v>
      </c>
      <c r="J24" s="118" t="s">
        <v>34</v>
      </c>
      <c r="K24" s="23" t="s">
        <v>53</v>
      </c>
      <c r="L24" s="36"/>
      <c r="M24" s="36"/>
      <c r="N24" s="38">
        <v>0.104</v>
      </c>
      <c r="O24" s="22" t="s">
        <v>94</v>
      </c>
      <c r="P24" s="22" t="s">
        <v>94</v>
      </c>
      <c r="Q24" s="38">
        <v>0.11799999999999999</v>
      </c>
      <c r="R24" s="22" t="s">
        <v>94</v>
      </c>
      <c r="S24" s="22" t="s">
        <v>94</v>
      </c>
      <c r="T24" s="36"/>
      <c r="U24" s="22" t="s">
        <v>94</v>
      </c>
      <c r="V24" s="22" t="s">
        <v>94</v>
      </c>
      <c r="W24" s="39"/>
      <c r="X24" s="135"/>
      <c r="Y24" s="150"/>
      <c r="Z24" s="117"/>
      <c r="AA24" s="121" t="s">
        <v>95</v>
      </c>
    </row>
    <row r="25" spans="1:27" ht="15" thickBot="1" x14ac:dyDescent="0.4">
      <c r="A25" s="165"/>
      <c r="B25" s="93"/>
      <c r="C25" s="120"/>
      <c r="D25" s="90"/>
      <c r="E25" s="106"/>
      <c r="F25" s="106"/>
      <c r="G25" s="106"/>
      <c r="H25" s="109"/>
      <c r="I25" s="106"/>
      <c r="J25" s="118"/>
      <c r="K25" s="23" t="s">
        <v>55</v>
      </c>
      <c r="L25" s="22" t="s">
        <v>94</v>
      </c>
      <c r="M25" s="22" t="s">
        <v>94</v>
      </c>
      <c r="N25" s="52">
        <v>0.115</v>
      </c>
      <c r="O25" s="22" t="s">
        <v>94</v>
      </c>
      <c r="P25" s="22" t="s">
        <v>94</v>
      </c>
      <c r="Q25" s="17">
        <v>0.121</v>
      </c>
      <c r="R25" s="22" t="s">
        <v>94</v>
      </c>
      <c r="S25" s="22" t="s">
        <v>94</v>
      </c>
      <c r="T25" s="57"/>
      <c r="U25" s="22" t="s">
        <v>94</v>
      </c>
      <c r="V25" s="22" t="s">
        <v>94</v>
      </c>
      <c r="W25" s="57"/>
      <c r="X25" s="104"/>
      <c r="Y25" s="111"/>
      <c r="Z25" s="151"/>
      <c r="AA25" s="122"/>
    </row>
    <row r="26" spans="1:27" ht="14.5" customHeight="1" x14ac:dyDescent="0.35">
      <c r="A26" s="165"/>
      <c r="B26" s="91" t="s">
        <v>96</v>
      </c>
      <c r="C26" s="158" t="s">
        <v>91</v>
      </c>
      <c r="D26" s="90" t="s">
        <v>97</v>
      </c>
      <c r="E26" s="106">
        <v>34</v>
      </c>
      <c r="F26" s="156"/>
      <c r="G26" s="156"/>
      <c r="H26" s="109" t="s">
        <v>32</v>
      </c>
      <c r="I26" s="106" t="s">
        <v>33</v>
      </c>
      <c r="J26" s="105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94"/>
      <c r="Y26" s="96"/>
      <c r="Z26" s="113"/>
      <c r="AA26" s="121" t="s">
        <v>98</v>
      </c>
    </row>
    <row r="27" spans="1:27" ht="14.5" customHeight="1" thickBot="1" x14ac:dyDescent="0.4">
      <c r="A27" s="165"/>
      <c r="B27" s="91"/>
      <c r="C27" s="158"/>
      <c r="D27" s="90"/>
      <c r="E27" s="106"/>
      <c r="F27" s="156"/>
      <c r="G27" s="156"/>
      <c r="H27" s="109"/>
      <c r="I27" s="106"/>
      <c r="J27" s="105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94"/>
      <c r="Y27" s="96"/>
      <c r="Z27" s="113"/>
      <c r="AA27" s="122"/>
    </row>
    <row r="28" spans="1:27" ht="14.5" customHeight="1" x14ac:dyDescent="0.35">
      <c r="A28" s="165"/>
      <c r="B28" s="90" t="s">
        <v>99</v>
      </c>
      <c r="C28" s="93" t="s">
        <v>73</v>
      </c>
      <c r="D28" s="90" t="s">
        <v>100</v>
      </c>
      <c r="E28" s="106" t="s">
        <v>75</v>
      </c>
      <c r="F28" s="106"/>
      <c r="G28" s="106"/>
      <c r="H28" s="109" t="s">
        <v>32</v>
      </c>
      <c r="I28" s="106" t="s">
        <v>33</v>
      </c>
      <c r="J28" s="105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1" t="s">
        <v>101</v>
      </c>
      <c r="Y28" s="97"/>
      <c r="Z28" s="117"/>
      <c r="AA28" s="126" t="s">
        <v>102</v>
      </c>
    </row>
    <row r="29" spans="1:27" ht="15" thickBot="1" x14ac:dyDescent="0.4">
      <c r="A29" s="165"/>
      <c r="B29" s="90"/>
      <c r="C29" s="93"/>
      <c r="D29" s="90"/>
      <c r="E29" s="106"/>
      <c r="F29" s="106"/>
      <c r="G29" s="106"/>
      <c r="H29" s="109"/>
      <c r="I29" s="106"/>
      <c r="J29" s="105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2"/>
      <c r="Y29" s="98"/>
      <c r="Z29" s="151"/>
      <c r="AA29" s="127"/>
    </row>
    <row r="30" spans="1:27" ht="14.5" customHeight="1" x14ac:dyDescent="0.35">
      <c r="A30" s="165"/>
      <c r="B30" s="90"/>
      <c r="C30" s="93" t="s">
        <v>73</v>
      </c>
      <c r="D30" s="90" t="s">
        <v>103</v>
      </c>
      <c r="E30" s="106" t="s">
        <v>75</v>
      </c>
      <c r="F30" s="106"/>
      <c r="G30" s="106"/>
      <c r="H30" s="109" t="s">
        <v>32</v>
      </c>
      <c r="I30" s="106" t="s">
        <v>33</v>
      </c>
      <c r="J30" s="105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1"/>
      <c r="Y30" s="150"/>
      <c r="Z30" s="117"/>
      <c r="AA30" s="163"/>
    </row>
    <row r="31" spans="1:27" x14ac:dyDescent="0.35">
      <c r="A31" s="165"/>
      <c r="B31" s="90"/>
      <c r="C31" s="93"/>
      <c r="D31" s="90"/>
      <c r="E31" s="106"/>
      <c r="F31" s="106"/>
      <c r="G31" s="106"/>
      <c r="H31" s="109"/>
      <c r="I31" s="106"/>
      <c r="J31" s="105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2"/>
      <c r="Y31" s="111"/>
      <c r="Z31" s="151"/>
      <c r="AA31" s="164"/>
    </row>
    <row r="32" spans="1:27" ht="14.5" customHeight="1" x14ac:dyDescent="0.35">
      <c r="A32" s="165"/>
      <c r="B32" s="93" t="s">
        <v>104</v>
      </c>
      <c r="C32" s="120" t="s">
        <v>65</v>
      </c>
      <c r="D32" s="90" t="s">
        <v>105</v>
      </c>
      <c r="E32" s="106" t="s">
        <v>75</v>
      </c>
      <c r="F32" s="106"/>
      <c r="G32" s="106"/>
      <c r="H32" s="109" t="s">
        <v>32</v>
      </c>
      <c r="I32" s="106" t="s">
        <v>81</v>
      </c>
      <c r="J32" s="105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67" t="s">
        <v>106</v>
      </c>
      <c r="Y32" s="97" t="s">
        <v>107</v>
      </c>
      <c r="Z32" s="117"/>
      <c r="AA32" s="121" t="s">
        <v>108</v>
      </c>
    </row>
    <row r="33" spans="1:29" ht="15.65" customHeight="1" thickBot="1" x14ac:dyDescent="0.4">
      <c r="A33" s="165"/>
      <c r="B33" s="93"/>
      <c r="C33" s="120"/>
      <c r="D33" s="90"/>
      <c r="E33" s="106"/>
      <c r="F33" s="106"/>
      <c r="G33" s="106"/>
      <c r="H33" s="109"/>
      <c r="I33" s="106"/>
      <c r="J33" s="105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68"/>
      <c r="Y33" s="98"/>
      <c r="Z33" s="151"/>
      <c r="AA33" s="122"/>
    </row>
    <row r="34" spans="1:29" x14ac:dyDescent="0.35">
      <c r="A34" s="107" t="s">
        <v>28</v>
      </c>
      <c r="B34" s="146" t="s">
        <v>29</v>
      </c>
      <c r="C34" s="93" t="s">
        <v>88</v>
      </c>
      <c r="D34" s="90" t="s">
        <v>31</v>
      </c>
      <c r="E34" s="106">
        <v>90</v>
      </c>
      <c r="F34" s="106"/>
      <c r="G34" s="106"/>
      <c r="H34" s="109" t="s">
        <v>32</v>
      </c>
      <c r="I34" s="106" t="s">
        <v>33</v>
      </c>
      <c r="J34" s="118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3"/>
      <c r="AA34" s="121" t="s">
        <v>109</v>
      </c>
    </row>
    <row r="35" spans="1:29" x14ac:dyDescent="0.35">
      <c r="A35" s="107"/>
      <c r="B35" s="146"/>
      <c r="C35" s="93"/>
      <c r="D35" s="90"/>
      <c r="E35" s="106"/>
      <c r="F35" s="106"/>
      <c r="G35" s="106"/>
      <c r="H35" s="109"/>
      <c r="I35" s="106"/>
      <c r="J35" s="118"/>
      <c r="K35" s="23" t="s">
        <v>55</v>
      </c>
      <c r="L35" s="22" t="s">
        <v>94</v>
      </c>
      <c r="M35" s="22" t="s">
        <v>94</v>
      </c>
      <c r="N35" s="19">
        <v>1</v>
      </c>
      <c r="O35" s="22" t="s">
        <v>94</v>
      </c>
      <c r="P35" s="22" t="s">
        <v>94</v>
      </c>
      <c r="Q35" s="19">
        <v>0.96199999999999997</v>
      </c>
      <c r="R35" s="22" t="s">
        <v>94</v>
      </c>
      <c r="S35" s="22" t="s">
        <v>94</v>
      </c>
      <c r="T35" s="19"/>
      <c r="U35" s="19"/>
      <c r="V35" s="19"/>
      <c r="W35" s="29"/>
      <c r="X35" s="94"/>
      <c r="Y35" s="96"/>
      <c r="Z35" s="113"/>
      <c r="AA35" s="122"/>
    </row>
    <row r="36" spans="1:29" x14ac:dyDescent="0.35">
      <c r="A36" s="107"/>
      <c r="B36" s="146" t="s">
        <v>35</v>
      </c>
      <c r="C36" s="93" t="s">
        <v>110</v>
      </c>
      <c r="D36" s="90" t="s">
        <v>37</v>
      </c>
      <c r="E36" s="106">
        <v>83</v>
      </c>
      <c r="F36" s="106"/>
      <c r="G36" s="106"/>
      <c r="H36" s="109" t="s">
        <v>32</v>
      </c>
      <c r="I36" s="106" t="s">
        <v>33</v>
      </c>
      <c r="J36" s="119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111</v>
      </c>
      <c r="Y36" s="95" t="s">
        <v>112</v>
      </c>
      <c r="Z36" s="113"/>
      <c r="AA36" s="121" t="s">
        <v>113</v>
      </c>
    </row>
    <row r="37" spans="1:29" x14ac:dyDescent="0.35">
      <c r="A37" s="107"/>
      <c r="B37" s="146"/>
      <c r="C37" s="93"/>
      <c r="D37" s="90"/>
      <c r="E37" s="106"/>
      <c r="F37" s="106"/>
      <c r="G37" s="106"/>
      <c r="H37" s="109"/>
      <c r="I37" s="106"/>
      <c r="J37" s="119"/>
      <c r="K37" s="23" t="s">
        <v>55</v>
      </c>
      <c r="L37" s="22" t="s">
        <v>114</v>
      </c>
      <c r="M37" s="22" t="s">
        <v>114</v>
      </c>
      <c r="N37" s="22" t="s">
        <v>114</v>
      </c>
      <c r="O37" s="19">
        <v>0.79</v>
      </c>
      <c r="P37" s="22" t="s">
        <v>114</v>
      </c>
      <c r="Q37" s="19">
        <v>0.79</v>
      </c>
      <c r="R37" s="22" t="s">
        <v>114</v>
      </c>
      <c r="S37" s="58"/>
      <c r="T37" s="58"/>
      <c r="U37" s="58"/>
      <c r="V37" s="58"/>
      <c r="W37" s="59"/>
      <c r="X37" s="135"/>
      <c r="Y37" s="97"/>
      <c r="Z37" s="117"/>
      <c r="AA37" s="123"/>
    </row>
    <row r="38" spans="1:29" s="5" customFormat="1" x14ac:dyDescent="0.3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</row>
    <row r="39" spans="1:29" s="5" customFormat="1" ht="23.5" x14ac:dyDescent="0.35">
      <c r="A39" s="139" t="s">
        <v>115</v>
      </c>
      <c r="B39" s="13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116</v>
      </c>
      <c r="C40" s="10" t="s">
        <v>3</v>
      </c>
      <c r="D40" s="10" t="s">
        <v>4</v>
      </c>
      <c r="E40" s="10" t="s">
        <v>117</v>
      </c>
      <c r="F40" s="10" t="s">
        <v>118</v>
      </c>
      <c r="G40" s="10" t="s">
        <v>119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120</v>
      </c>
      <c r="O40" s="10" t="s">
        <v>15</v>
      </c>
      <c r="P40" s="10" t="s">
        <v>16</v>
      </c>
      <c r="Q40" s="10" t="s">
        <v>121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40" t="s">
        <v>47</v>
      </c>
      <c r="B41" s="143" t="s">
        <v>122</v>
      </c>
      <c r="C41" s="144" t="s">
        <v>49</v>
      </c>
      <c r="D41" s="145" t="s">
        <v>123</v>
      </c>
      <c r="E41" s="138" t="s">
        <v>93</v>
      </c>
      <c r="F41" s="138" t="s">
        <v>93</v>
      </c>
      <c r="G41" s="138" t="s">
        <v>93</v>
      </c>
      <c r="H41" s="157" t="s">
        <v>51</v>
      </c>
      <c r="I41" s="138" t="s">
        <v>33</v>
      </c>
      <c r="J41" s="147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4"/>
      <c r="Y41" s="129"/>
      <c r="Z41" s="129"/>
      <c r="AA41" s="122" t="s">
        <v>122</v>
      </c>
      <c r="AC41" s="12"/>
    </row>
    <row r="42" spans="1:29" ht="23.15" customHeight="1" x14ac:dyDescent="0.35">
      <c r="A42" s="141"/>
      <c r="B42" s="91"/>
      <c r="C42" s="92"/>
      <c r="D42" s="90"/>
      <c r="E42" s="106"/>
      <c r="F42" s="106"/>
      <c r="G42" s="106"/>
      <c r="H42" s="109"/>
      <c r="I42" s="106"/>
      <c r="J42" s="125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>
        <v>1.7000000000000001E-2</v>
      </c>
      <c r="U42" s="57"/>
      <c r="V42" s="57"/>
      <c r="W42" s="61"/>
      <c r="X42" s="134"/>
      <c r="Y42" s="129"/>
      <c r="Z42" s="129"/>
      <c r="AA42" s="124"/>
    </row>
    <row r="43" spans="1:29" x14ac:dyDescent="0.35">
      <c r="A43" s="142" t="s">
        <v>26</v>
      </c>
      <c r="B43" s="91" t="s">
        <v>124</v>
      </c>
      <c r="C43" s="92" t="s">
        <v>91</v>
      </c>
      <c r="D43" s="90" t="s">
        <v>125</v>
      </c>
      <c r="E43" s="106" t="s">
        <v>93</v>
      </c>
      <c r="F43" s="106" t="s">
        <v>93</v>
      </c>
      <c r="G43" s="106" t="s">
        <v>93</v>
      </c>
      <c r="H43" s="109" t="s">
        <v>32</v>
      </c>
      <c r="I43" s="106" t="s">
        <v>33</v>
      </c>
      <c r="J43" s="118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28" t="s">
        <v>126</v>
      </c>
      <c r="Y43" s="130" t="s">
        <v>127</v>
      </c>
      <c r="Z43" s="131"/>
      <c r="AA43" s="132" t="s">
        <v>128</v>
      </c>
    </row>
    <row r="44" spans="1:29" x14ac:dyDescent="0.35">
      <c r="A44" s="142"/>
      <c r="B44" s="91"/>
      <c r="C44" s="92"/>
      <c r="D44" s="90"/>
      <c r="E44" s="106"/>
      <c r="F44" s="106"/>
      <c r="G44" s="106"/>
      <c r="H44" s="109"/>
      <c r="I44" s="156"/>
      <c r="J44" s="118"/>
      <c r="K44" s="23" t="s">
        <v>55</v>
      </c>
      <c r="L44" s="22" t="s">
        <v>94</v>
      </c>
      <c r="M44" s="22" t="s">
        <v>94</v>
      </c>
      <c r="N44" s="17">
        <v>4.2000000000000003E-2</v>
      </c>
      <c r="O44" s="22" t="s">
        <v>94</v>
      </c>
      <c r="P44" s="22" t="s">
        <v>94</v>
      </c>
      <c r="Q44" s="17">
        <v>0.04</v>
      </c>
      <c r="R44" s="22" t="s">
        <v>94</v>
      </c>
      <c r="S44" s="22" t="s">
        <v>94</v>
      </c>
      <c r="T44" s="57"/>
      <c r="U44" s="22" t="s">
        <v>94</v>
      </c>
      <c r="V44" s="22" t="s">
        <v>94</v>
      </c>
      <c r="W44" s="57"/>
      <c r="X44" s="128"/>
      <c r="Y44" s="130"/>
      <c r="Z44" s="131"/>
      <c r="AA44" s="132"/>
    </row>
    <row r="45" spans="1:29" x14ac:dyDescent="0.35">
      <c r="A45" s="142"/>
      <c r="B45" s="91" t="s">
        <v>129</v>
      </c>
      <c r="C45" s="92" t="s">
        <v>91</v>
      </c>
      <c r="D45" s="90" t="s">
        <v>130</v>
      </c>
      <c r="E45" s="106" t="s">
        <v>93</v>
      </c>
      <c r="F45" s="106" t="s">
        <v>93</v>
      </c>
      <c r="G45" s="106" t="s">
        <v>93</v>
      </c>
      <c r="H45" s="109" t="s">
        <v>32</v>
      </c>
      <c r="I45" s="106" t="s">
        <v>33</v>
      </c>
      <c r="J45" s="125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28"/>
      <c r="Y45" s="130" t="s">
        <v>131</v>
      </c>
      <c r="Z45" s="133">
        <v>46188</v>
      </c>
      <c r="AA45" s="124" t="s">
        <v>129</v>
      </c>
    </row>
    <row r="46" spans="1:29" ht="16.5" customHeight="1" x14ac:dyDescent="0.35">
      <c r="A46" s="142"/>
      <c r="B46" s="91"/>
      <c r="C46" s="92"/>
      <c r="D46" s="90"/>
      <c r="E46" s="106"/>
      <c r="F46" s="106"/>
      <c r="G46" s="106"/>
      <c r="H46" s="109"/>
      <c r="I46" s="106"/>
      <c r="J46" s="125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28"/>
      <c r="Y46" s="131"/>
      <c r="Z46" s="131"/>
      <c r="AA46" s="124"/>
    </row>
    <row r="47" spans="1:29" x14ac:dyDescent="0.35">
      <c r="A47" s="142"/>
      <c r="B47" s="91" t="s">
        <v>132</v>
      </c>
      <c r="C47" s="92" t="s">
        <v>88</v>
      </c>
      <c r="D47" s="90" t="s">
        <v>133</v>
      </c>
      <c r="E47" s="106" t="s">
        <v>93</v>
      </c>
      <c r="F47" s="106" t="s">
        <v>93</v>
      </c>
      <c r="G47" s="106" t="s">
        <v>93</v>
      </c>
      <c r="H47" s="109" t="s">
        <v>32</v>
      </c>
      <c r="I47" s="106" t="s">
        <v>81</v>
      </c>
      <c r="J47" s="125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28"/>
      <c r="Y47" s="131"/>
      <c r="Z47" s="131"/>
      <c r="AA47" s="90" t="s">
        <v>134</v>
      </c>
    </row>
    <row r="48" spans="1:29" ht="20.5" customHeight="1" x14ac:dyDescent="0.35">
      <c r="A48" s="142"/>
      <c r="B48" s="91"/>
      <c r="C48" s="92"/>
      <c r="D48" s="90"/>
      <c r="E48" s="106"/>
      <c r="F48" s="106"/>
      <c r="G48" s="106"/>
      <c r="H48" s="109"/>
      <c r="I48" s="106"/>
      <c r="J48" s="125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28"/>
      <c r="Y48" s="131"/>
      <c r="Z48" s="131"/>
      <c r="AA48" s="90"/>
    </row>
    <row r="49" spans="1:27" x14ac:dyDescent="0.35">
      <c r="A49" s="141" t="s">
        <v>135</v>
      </c>
      <c r="B49" s="148" t="s">
        <v>136</v>
      </c>
      <c r="C49" s="92" t="s">
        <v>69</v>
      </c>
      <c r="D49" s="90" t="s">
        <v>137</v>
      </c>
      <c r="E49" s="106">
        <v>74</v>
      </c>
      <c r="F49" s="106" t="s">
        <v>93</v>
      </c>
      <c r="G49" s="106" t="s">
        <v>93</v>
      </c>
      <c r="H49" s="109" t="s">
        <v>32</v>
      </c>
      <c r="I49" s="106" t="s">
        <v>33</v>
      </c>
      <c r="J49" s="105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28"/>
      <c r="Y49" s="130"/>
      <c r="Z49" s="131"/>
      <c r="AA49" s="124" t="s">
        <v>138</v>
      </c>
    </row>
    <row r="50" spans="1:27" x14ac:dyDescent="0.35">
      <c r="A50" s="141"/>
      <c r="B50" s="148"/>
      <c r="C50" s="92"/>
      <c r="D50" s="90"/>
      <c r="E50" s="106"/>
      <c r="F50" s="106"/>
      <c r="G50" s="106"/>
      <c r="H50" s="109"/>
      <c r="I50" s="106"/>
      <c r="J50" s="105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6"/>
      <c r="X50" s="128"/>
      <c r="Y50" s="130"/>
      <c r="Z50" s="131"/>
      <c r="AA50" s="124"/>
    </row>
    <row r="51" spans="1:27" x14ac:dyDescent="0.35">
      <c r="A51" s="142" t="s">
        <v>25</v>
      </c>
      <c r="B51" s="91" t="s">
        <v>139</v>
      </c>
      <c r="C51" s="92" t="s">
        <v>73</v>
      </c>
      <c r="D51" s="90" t="s">
        <v>140</v>
      </c>
      <c r="E51" s="106">
        <v>33.1</v>
      </c>
      <c r="F51" s="106" t="s">
        <v>93</v>
      </c>
      <c r="G51" s="106" t="s">
        <v>93</v>
      </c>
      <c r="H51" s="109" t="s">
        <v>32</v>
      </c>
      <c r="I51" s="106" t="s">
        <v>33</v>
      </c>
      <c r="J51" s="105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28"/>
      <c r="Y51" s="131"/>
      <c r="Z51" s="131"/>
      <c r="AA51" s="93" t="s">
        <v>141</v>
      </c>
    </row>
    <row r="52" spans="1:27" ht="15" thickBot="1" x14ac:dyDescent="0.4">
      <c r="A52" s="142"/>
      <c r="B52" s="91"/>
      <c r="C52" s="92"/>
      <c r="D52" s="90"/>
      <c r="E52" s="106"/>
      <c r="F52" s="106"/>
      <c r="G52" s="106"/>
      <c r="H52" s="109"/>
      <c r="I52" s="106"/>
      <c r="J52" s="105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28"/>
      <c r="Y52" s="131"/>
      <c r="Z52" s="131"/>
      <c r="AA52" s="9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23:W27 L7:W7 L9:W9 L11:W11 L13:W13 L17:W17 L19:W19 L21:W21 L29:W29 L31:W31 L33:W33 N35 Q35 T35:W35 O37 S37:W37 L15:W15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A947F7A-4B36-444A-8EB5-D7532A79A0CA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2026-10-09T16:56:17Z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
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6" Type="http://schemas.microsoft.com/office/2011/relationships/webextensiontaskpanes" Target="xl/webextensions/taskpanes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207" documentId="8_{9B9C04DA-ABE2-4E9B-9FCF-AA5C7C703189}" xr6:coauthVersionLast="47" xr6:coauthVersionMax="47" xr10:uidLastSave="{6E097B0B-CC12-443A-81FF-F45BC921F7B0}"/>
  <bookViews>
    <workbookView xWindow="-110" yWindow="-110" windowWidth="19420" windowHeight="10300" firstSheet="1" activeTab="1" xr2:uid="{31EBE344-35EA-49FE-9828-AF06217AD86D}"/>
  </bookViews>
  <sheets>
    <sheet name="Mastersheet" sheetId="5" state="hidden" r:id="rId1"/>
    <sheet name="AOP Critical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" l="1"/>
  <c r="M25" i="5" s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S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<sst xmlns="http://schemas.openxmlformats.org/spreadsheetml/2006/main" count="495" uniqueCount="144">
  <si>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</si>
  <si>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</si>
  <si>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</si>
  <si>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</si>
  <si>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</si>
  <si>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</si>
  <si>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</si>
  <si>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</si>
  <si>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</si>
  <si>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</si>
  <si>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</si>
  <si>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</si>
  <si>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</si>
  <si>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</si>
  <si>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</si>
  <si>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</si>
  <si>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</si>
  <si>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</si>
  <si>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</si>
  <si>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</si>
  <si>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</si>
  <si>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</si>
  <si>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</si>
  <si>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</si>
  <si>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</si>
  <si>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</si>
  <si>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</si>
  <si>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</si>
  <si>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</si>
  <si>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</si>
  <si>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</si>
  <si>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</si>
  <si>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</si>
  <si>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</si>
  <si>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</si>
  <si>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</si>
  <si>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</si>
  <si>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</si>
  <si>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</si>
  <si>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</si>
  <si>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</si>
  <si>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</si>
  <si>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</si>
  <si>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</si>
  <si>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</si>
  <si>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</si>
  <si>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</si>
  <si>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</si>
  <si>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</si>
  <si>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</si>
  <si>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</si>
  <si>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</si>
  <si>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</si>
  <si>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</si>
  <si>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</si>
  <si>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</si>
  <si>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</si>
  <si>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</si>
  <si>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 xml:space="preserve">
The CAPA we are finishing in July. 
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</si>
  <si>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</si>
  <si>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</si>
  <si>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</si>
  <si>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</si>
  <si>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</si>
  <si>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</si>
  <si>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</si>
  <si>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</si>
  <si>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</si>
  <si>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</si>
  <si>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</si>
  <si>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</si>
  <si>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0.9% Gap VS AOP. YoY improvement by 0.4%. Expected turnaround is Sep 2026. GRC CP% dropped significantly. NAR to catch up in Q3</t>
  </si>
  <si>
    <t>Funnel focus actions driven across regions for same</t>
  </si>
  <si>
    <t>Adjusted EBITA %</t>
  </si>
  <si>
    <t>Chetan L</t>
  </si>
  <si>
    <t>Adjusted EBIT per comitted 2026</t>
  </si>
  <si>
    <t>AOP</t>
  </si>
  <si>
    <t>EBIT lower by 1.4% vs AOP mainly impacted by increased in Mkt Sellex, which have wrong baseline.</t>
  </si>
  <si>
    <t>During AOP26 wrong base considered of JuneFC 25, which was corretced and reflecting on June FC 26. (Action already closed)</t>
  </si>
  <si>
    <t>Adjusted EBITA KPI</t>
  </si>
  <si>
    <t>Productivity</t>
  </si>
  <si>
    <t xml:space="preserve"> Monthly Cost Savings</t>
  </si>
  <si>
    <t>Mn</t>
  </si>
  <si>
    <t>YTD Aug Productivity no's on track.</t>
  </si>
  <si>
    <t>Inventory MAT sales</t>
  </si>
  <si>
    <t>Inventory as a % MAT sales</t>
  </si>
  <si>
    <t xml:space="preserve">Market inventory : 14 M above AOP .
Growth : +3.8 M -Hudut  + Namibia tender  
EU + 3.7  M above AOP driven delayed Demo liquidation  ,
NAM progressing will with steady decline Month over month currently 0.8M above AOP , 
UIPE effect increased leading  to 10M increase in Mrkt inventory ( Aug reported at 31% against AOP 59% ) 
UIPE @ AOP, inventory MAT would be 25.3% </t>
  </si>
  <si>
    <t xml:space="preserve">1. NAR :AOP accelator program launched to improve OIT to rev conversion.
2. EU : Demo  liquidation plan aligned toward Q4 to maximise OIT in Q3.
3. Growth: Hudut 41 system Q3 revnue conversion+ Namibia tender conversion 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</si>
  <si>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</si>
  <si>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</si>
  <si>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</si>
  <si>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</si>
  <si>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</si>
  <si>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</si>
  <si>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</si>
  <si>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</si>
  <si>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</si>
  <si>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</si>
  <si>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</si>
  <si>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</si>
  <si>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</si>
  <si>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</si>
  <si>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</si>
  <si>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EQ OIT YTD Aug lower by 1.5M, which is mainly coming by NAR -4.1M, EU -3.8M however Growth supported by over-drive +6.5M</t>
  </si>
  <si>
    <t>OIT (Equipment  + Service)</t>
  </si>
  <si>
    <t>OIT Growth % (CS)</t>
  </si>
  <si>
    <t>Comparable Sales</t>
  </si>
  <si>
    <t>Monthly Sales recognized (EQ)</t>
  </si>
  <si>
    <t>Current OOH does not support the Q3 revenue plan for Europe and Growth.
OOH is 35 which is   for 95.6 M (Q3 AOP).
FY 80% OOH and need to be at 95% by Sep end to make FY AOP.</t>
  </si>
  <si>
    <t>OIT to revnue accelarator program launched for NAR
Drive Additinal B&amp;B OIT in NAM and EU to bridge revnue gap to AOP.
Get supply chain geared up to deliver mexico tender ( 74 systems)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</si>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</sst>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7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2" fontId="9" fillId="0" borderId="1" xfId="1" applyNumberFormat="1" applyFont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2" fontId="9" fillId="0" borderId="2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" fillId="5" borderId="3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vertical="center"/>
    </xf>
    <xf numFmtId="0" fontId="7" fillId="10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readingOrder="1"/>
    </xf>
    <xf numFmtId="0" fontId="4" fillId="4" borderId="1" xfId="0" applyFont="1" applyFill="1" applyBorder="1" applyAlignment="1">
      <alignment horizontal="left" vertical="center" wrapText="1" readingOrder="1"/>
    </xf>
    <xf numFmtId="0" fontId="7" fillId="4" borderId="1" xfId="0" applyFon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7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5" borderId="8" xfId="0" applyFont="1" applyFill="1" applyBorder="1" applyAlignment="1">
      <alignment vertical="center" wrapText="1"/>
    </xf>
    <xf numFmtId="0" fontId="0" fillId="0" borderId="1" xfId="0" applyBorder="1" applyAlignment="1">
      <alignment horizontal="center" vertical="center" readingOrder="1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readingOrder="1"/>
    </xf>
    <xf numFmtId="0" fontId="7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/>
    </xf>
    <xf numFmtId="0" fontId="0" fillId="5" borderId="3" xfId="0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7" fillId="5" borderId="8" xfId="0" applyFont="1" applyFill="1" applyBorder="1" applyAlignment="1">
      <alignment vertical="top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 readingOrder="1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5" fillId="0" borderId="1" xfId="2" applyBorder="1" applyAlignment="1">
      <alignment horizontal="left" vertical="center" readingOrder="1"/>
    </xf>
    <xf numFmtId="0" fontId="0" fillId="5" borderId="8" xfId="0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5" fillId="0" borderId="4" xfId="2" applyBorder="1" applyAlignment="1">
      <alignment horizontal="left" vertical="center" readingOrder="1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4" fillId="5" borderId="14" xfId="0" applyFont="1" applyFill="1" applyBorder="1" applyAlignment="1">
      <alignment vertical="center" wrapText="1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2</xdr:row>
      <xdr:rowOff>18415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45"/>
  <cols>
    <col min="1" max="1" width="38.140625" bestFit="1" customWidth="1"/>
    <col min="2" max="2" width="24" bestFit="1" customWidth="1"/>
    <col min="3" max="3" width="55.28515625" bestFit="1" customWidth="1"/>
    <col min="4" max="4" width="48.5703125" customWidth="1"/>
    <col min="5" max="6" width="10.42578125" customWidth="1"/>
    <col min="7" max="7" width="13.85546875" customWidth="1"/>
    <col min="9" max="9" width="11.5703125" customWidth="1"/>
    <col min="10" max="10" width="13.85546875" customWidth="1"/>
  </cols>
  <sheetData>
    <row r="1" spans="1:22" ht="15.95">
      <c r="A1" s="68" t="s">
        <v>0</v>
      </c>
    </row>
    <row r="3" spans="1:22">
      <c r="A3" s="6" t="s">
        <v>1</v>
      </c>
    </row>
    <row r="4" spans="1:22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70">
        <f>IF('AOP Critical'!L6="","",'AOP Critical'!L6)</f>
        <v>0.08</v>
      </c>
      <c r="L5" s="70">
        <f>IF('AOP Critical'!M6="","",'AOP Critical'!M6)</f>
        <v>0.08</v>
      </c>
      <c r="M5" s="70">
        <f>IF('AOP Critical'!N6="","",'AOP Critical'!N6)</f>
        <v>0.08</v>
      </c>
      <c r="N5" s="70">
        <f>IF('AOP Critical'!O6="","",'AOP Critical'!O6)</f>
        <v>7.0000000000000007E-2</v>
      </c>
      <c r="O5" s="70">
        <f>IF('AOP Critical'!P6="","",'AOP Critical'!P6)</f>
        <v>7.0000000000000007E-2</v>
      </c>
      <c r="P5" s="70">
        <f>IF('AOP Critical'!Q6="","",'AOP Critical'!Q6)</f>
        <v>7.0000000000000007E-2</v>
      </c>
      <c r="Q5" s="70">
        <f>IF('AOP Critical'!R6="","",'AOP Critical'!R6)</f>
        <v>0.06</v>
      </c>
      <c r="R5" s="70">
        <f>IF('AOP Critical'!S6="","",'AOP Critical'!S6)</f>
        <v>0.06</v>
      </c>
      <c r="S5" s="70">
        <f>IF('AOP Critical'!T6="","",'AOP Critical'!T6)</f>
        <v>0.06</v>
      </c>
      <c r="T5" s="70">
        <f>IF('AOP Critical'!U6="","",'AOP Critical'!U6)</f>
        <v>0.05</v>
      </c>
      <c r="U5" s="70">
        <f>IF('AOP Critical'!V6="","",'AOP Critical'!V6)</f>
        <v>0.05</v>
      </c>
      <c r="V5" s="70">
        <f>IF('AOP Critical'!W6="","",'AOP Critical'!W6)</f>
        <v>0.05</v>
      </c>
    </row>
    <row r="6" spans="1:22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9">
        <f>IF('AOP Critical'!L7="","",'AOP Critical'!L7)</f>
        <v>3.7999999999999999E-2</v>
      </c>
      <c r="L6" s="69">
        <f>IF('AOP Critical'!M7="","",'AOP Critical'!M7)</f>
        <v>3.7999999999999999E-2</v>
      </c>
      <c r="M6" s="69">
        <f>IF('AOP Critical'!N7="","",'AOP Critical'!N7)</f>
        <v>2.8000000000000001E-2</v>
      </c>
      <c r="N6" s="69">
        <f>IF('AOP Critical'!O7="","",'AOP Critical'!O7)</f>
        <v>2.5999999999999999E-2</v>
      </c>
      <c r="O6" s="69">
        <f>IF('AOP Critical'!P7="","",'AOP Critical'!P7)</f>
        <v>2.5999999999999999E-2</v>
      </c>
      <c r="P6" s="69">
        <f>IF('AOP Critical'!Q7="","",'AOP Critical'!Q7)</f>
        <v>0.03</v>
      </c>
      <c r="Q6" s="69">
        <f>IF('AOP Critical'!R7="","",'AOP Critical'!R7)</f>
        <v>3.1E-2</v>
      </c>
      <c r="R6" s="69">
        <f>IF('AOP Critical'!S7="","",'AOP Critical'!S7)</f>
        <v>3.5000000000000003E-2</v>
      </c>
      <c r="S6" s="69">
        <f>IF('AOP Critical'!T7="","",'AOP Critical'!T7)</f>
        <v>3.5000000000000003E-2</v>
      </c>
      <c r="T6" s="69" t="str">
        <f>IF('AOP Critical'!U7="","",'AOP Critical'!U7)</f>
        <v/>
      </c>
      <c r="U6" s="69" t="str">
        <f>IF('AOP Critical'!V7="","",'AOP Critical'!V7)</f>
        <v/>
      </c>
      <c r="V6" s="69">
        <f>IF('AOP Critical'!W7="","",'AOP Critical'!W7)</f>
        <v>0.06</v>
      </c>
    </row>
    <row r="7" spans="1:22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71">
        <f>IF('AOP Critical'!L8="","",'AOP Critical'!L8)</f>
        <v>0.9</v>
      </c>
      <c r="L7" s="71">
        <f>IF('AOP Critical'!M8="","",'AOP Critical'!M8)</f>
        <v>0.9</v>
      </c>
      <c r="M7" s="71">
        <f>IF('AOP Critical'!N8="","",'AOP Critical'!N8)</f>
        <v>0.9</v>
      </c>
      <c r="N7" s="71">
        <f>IF('AOP Critical'!O8="","",'AOP Critical'!O8)</f>
        <v>0.9</v>
      </c>
      <c r="O7" s="71">
        <f>IF('AOP Critical'!P8="","",'AOP Critical'!P8)</f>
        <v>0.9</v>
      </c>
      <c r="P7" s="71">
        <f>IF('AOP Critical'!Q8="","",'AOP Critical'!Q8)</f>
        <v>0.9</v>
      </c>
      <c r="Q7" s="71">
        <f>IF('AOP Critical'!R8="","",'AOP Critical'!R8)</f>
        <v>0.9</v>
      </c>
      <c r="R7" s="71" t="str">
        <f>IF('AOP Critical'!S8="","",'AOP Critical'!S8)</f>
        <v/>
      </c>
      <c r="S7" s="71" t="str">
        <f>IF('AOP Critical'!T8="","",'AOP Critical'!T8)</f>
        <v/>
      </c>
      <c r="T7" s="71" t="str">
        <f>IF('AOP Critical'!U8="","",'AOP Critical'!U8)</f>
        <v/>
      </c>
      <c r="U7" s="71" t="str">
        <f>IF('AOP Critical'!V8="","",'AOP Critical'!V8)</f>
        <v/>
      </c>
      <c r="V7" s="71" t="str">
        <f>IF('AOP Critical'!W8="","",'AOP Critical'!W8)</f>
        <v/>
      </c>
    </row>
    <row r="8" spans="1:22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2">
        <f>IF('AOP Critical'!L9="","",'AOP Critical'!L9)</f>
        <v>1</v>
      </c>
      <c r="L8" s="72">
        <f>IF('AOP Critical'!M9="","",'AOP Critical'!M9)</f>
        <v>0.75</v>
      </c>
      <c r="M8" s="72">
        <f>IF('AOP Critical'!N9="","",'AOP Critical'!N9)</f>
        <v>0.4</v>
      </c>
      <c r="N8" s="72">
        <f>IF('AOP Critical'!O9="","",'AOP Critical'!O9)</f>
        <v>0</v>
      </c>
      <c r="O8" s="72">
        <f>IF('AOP Critical'!P9="","",'AOP Critical'!P9)</f>
        <v>0</v>
      </c>
      <c r="P8" s="72">
        <f>IF('AOP Critical'!Q9="","",'AOP Critical'!Q9)</f>
        <v>0</v>
      </c>
      <c r="Q8" s="72">
        <f>IF('AOP Critical'!R9="","",'AOP Critical'!R9)</f>
        <v>1</v>
      </c>
      <c r="R8" s="72">
        <f>IF('AOP Critical'!S9="","",'AOP Critical'!S9)</f>
        <v>1</v>
      </c>
      <c r="S8" s="72">
        <f>IF('AOP Critical'!T9="","",'AOP Critical'!T9)</f>
        <v>1</v>
      </c>
      <c r="T8" s="72" t="str">
        <f>IF('AOP Critical'!U9="","",'AOP Critical'!U9)</f>
        <v/>
      </c>
      <c r="U8" s="72" t="str">
        <f>IF('AOP Critical'!V9="","",'AOP Critical'!V9)</f>
        <v/>
      </c>
      <c r="V8" s="72" t="str">
        <f>IF('AOP Critical'!W9="","",'AOP Critical'!W9)</f>
        <v/>
      </c>
    </row>
    <row r="9" spans="1:22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 t="str">
        <f>IF('AOP Critical'!T10="","",'AOP Critical'!T10)</f>
        <v/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3">
        <f>IF('AOP Critical'!L41="","",'AOP Critical'!L41)</f>
        <v>1.9099999999999999E-2</v>
      </c>
      <c r="L11" s="73">
        <f>IF('AOP Critical'!M41="","",'AOP Critical'!M41)</f>
        <v>4.07E-2</v>
      </c>
      <c r="M11" s="73">
        <f>IF('AOP Critical'!N41="","",'AOP Critical'!N41)</f>
        <v>4.6199999999999998E-2</v>
      </c>
      <c r="N11" s="73">
        <f>IF('AOP Critical'!O41="","",'AOP Critical'!O41)</f>
        <v>3.8600000000000002E-2</v>
      </c>
      <c r="O11" s="73">
        <f>IF('AOP Critical'!P41="","",'AOP Critical'!P41)</f>
        <v>3.5299999999999998E-2</v>
      </c>
      <c r="P11" s="73">
        <f>IF('AOP Critical'!Q41="","",'AOP Critical'!Q41)</f>
        <v>2.7099999999999999E-2</v>
      </c>
      <c r="Q11" s="73">
        <f>IF('AOP Critical'!R41="","",'AOP Critical'!R41)</f>
        <v>2.5100000000000001E-2</v>
      </c>
      <c r="R11" s="73">
        <f>IF('AOP Critical'!S41="","",'AOP Critical'!S41)</f>
        <v>2.41E-2</v>
      </c>
      <c r="S11" s="73">
        <f>IF('AOP Critical'!T41="","",'AOP Critical'!T41)</f>
        <v>3.1600000000000003E-2</v>
      </c>
      <c r="T11" s="73">
        <f>IF('AOP Critical'!U41="","",'AOP Critical'!U41)</f>
        <v>3.1099999999999999E-2</v>
      </c>
      <c r="U11" s="73">
        <f>IF('AOP Critical'!V41="","",'AOP Critical'!V41)</f>
        <v>3.5700000000000003E-2</v>
      </c>
      <c r="V11" s="73">
        <f>IF('AOP Critical'!W41="","",'AOP Critical'!W41)</f>
        <v>3.32E-2</v>
      </c>
    </row>
    <row r="12" spans="1:22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3">
        <f>IF('AOP Critical'!L42="","",'AOP Critical'!L42)</f>
        <v>9.1999999999999998E-3</v>
      </c>
      <c r="L12" s="73">
        <f>IF('AOP Critical'!M42="","",'AOP Critical'!M42)</f>
        <v>1.5800000000000002E-2</v>
      </c>
      <c r="M12" s="73">
        <f>IF('AOP Critical'!N42="","",'AOP Critical'!N42)</f>
        <v>1.7600000000000001E-2</v>
      </c>
      <c r="N12" s="73">
        <f>IF('AOP Critical'!O42="","",'AOP Critical'!O42)</f>
        <v>1.5800000000000002E-2</v>
      </c>
      <c r="O12" s="73">
        <f>IF('AOP Critical'!P42="","",'AOP Critical'!P42)</f>
        <v>8.6E-3</v>
      </c>
      <c r="P12" s="73">
        <f>IF('AOP Critical'!Q42="","",'AOP Critical'!Q42)</f>
        <v>1.2699999999999999E-2</v>
      </c>
      <c r="Q12" s="73">
        <f>IF('AOP Critical'!R42="","",'AOP Critical'!R42)</f>
        <v>1.3299999999999999E-2</v>
      </c>
      <c r="R12" s="73">
        <f>IF('AOP Critical'!S42="","",'AOP Critical'!S42)</f>
        <v>1.3899999999999999E-2</v>
      </c>
      <c r="S12" s="73" t="str">
        <f>IF('AOP Critical'!T42="","",'AOP Critical'!T42)</f>
        <v/>
      </c>
      <c r="T12" s="73" t="str">
        <f>IF('AOP Critical'!U42="","",'AOP Critical'!U42)</f>
        <v/>
      </c>
      <c r="U12" s="73" t="str">
        <f>IF('AOP Critical'!V42="","",'AOP Critical'!V42)</f>
        <v/>
      </c>
      <c r="V12" s="73" t="str">
        <f>IF('AOP Critical'!W42="","",'AOP Critical'!W42)</f>
        <v/>
      </c>
    </row>
    <row r="13" spans="1:22">
      <c r="A13" s="6" t="s">
        <v>24</v>
      </c>
    </row>
    <row r="14" spans="1:22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71">
        <f>IF('AOP Critical'!L12="","",'AOP Critical'!L12)</f>
        <v>0.69</v>
      </c>
      <c r="L15" s="71">
        <f>IF('AOP Critical'!M12="","",'AOP Critical'!M12)</f>
        <v>0.69</v>
      </c>
      <c r="M15" s="71">
        <f>IF('AOP Critical'!N12="","",'AOP Critical'!N12)</f>
        <v>0.69</v>
      </c>
      <c r="N15" s="71">
        <f>IF('AOP Critical'!O12="","",'AOP Critical'!O12)</f>
        <v>0.72</v>
      </c>
      <c r="O15" s="71">
        <f>IF('AOP Critical'!P12="","",'AOP Critical'!P12)</f>
        <v>0.72</v>
      </c>
      <c r="P15" s="71">
        <f>IF('AOP Critical'!Q12="","",'AOP Critical'!Q12)</f>
        <v>0.72</v>
      </c>
      <c r="Q15" s="71">
        <f>IF('AOP Critical'!R12="","",'AOP Critical'!R12)</f>
        <v>0.74</v>
      </c>
      <c r="R15" s="71">
        <f>IF('AOP Critical'!S12="","",'AOP Critical'!S12)</f>
        <v>0.74</v>
      </c>
      <c r="S15" s="71">
        <f>IF('AOP Critical'!T12="","",'AOP Critical'!T12)</f>
        <v>0.74</v>
      </c>
      <c r="T15" s="71">
        <f>IF('AOP Critical'!U12="","",'AOP Critical'!U12)</f>
        <v>0.79</v>
      </c>
      <c r="U15" s="71">
        <f>IF('AOP Critical'!V12="","",'AOP Critical'!V12)</f>
        <v>0.79</v>
      </c>
      <c r="V15" s="71">
        <f>IF('AOP Critical'!W12="","",'AOP Critical'!W12)</f>
        <v>0.79</v>
      </c>
    </row>
    <row r="16" spans="1:22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71">
        <f>IF('AOP Critical'!L13="","",'AOP Critical'!L13)</f>
        <v>0.83</v>
      </c>
      <c r="L16" s="71">
        <f>IF('AOP Critical'!M13="","",'AOP Critical'!M13)</f>
        <v>0.82</v>
      </c>
      <c r="M16" s="71">
        <f>IF('AOP Critical'!N13="","",'AOP Critical'!N13)</f>
        <v>0.81</v>
      </c>
      <c r="N16" s="71">
        <f>IF('AOP Critical'!O13="","",'AOP Critical'!O13)</f>
        <v>0.6</v>
      </c>
      <c r="O16" s="71">
        <f>IF('AOP Critical'!P13="","",'AOP Critical'!P13)</f>
        <v>0.87</v>
      </c>
      <c r="P16" s="71">
        <f>IF('AOP Critical'!Q13="","",'AOP Critical'!Q13)</f>
        <v>0.77</v>
      </c>
      <c r="Q16" s="71">
        <f>IF('AOP Critical'!R13="","",'AOP Critical'!R13)</f>
        <v>0.75</v>
      </c>
      <c r="R16" s="71">
        <f>IF('AOP Critical'!S13="","",'AOP Critical'!S13)</f>
        <v>0.81</v>
      </c>
      <c r="S16" s="71" t="str">
        <f>IF('AOP Critical'!T13="","",'AOP Critical'!T13)</f>
        <v/>
      </c>
      <c r="T16" s="71" t="str">
        <f>IF('AOP Critical'!U13="","",'AOP Critical'!U13)</f>
        <v/>
      </c>
      <c r="U16" s="71" t="str">
        <f>IF('AOP Critical'!V13="","",'AOP Critical'!V13)</f>
        <v/>
      </c>
      <c r="V16" s="71" t="str">
        <f>IF('AOP Critical'!W13="","",'AOP Critical'!W13)</f>
        <v/>
      </c>
    </row>
    <row r="17" spans="1:22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2">
        <f>IF('AOP Critical'!L14="","",'AOP Critical'!L14)</f>
        <v>0.54249999999999998</v>
      </c>
      <c r="L17" s="72">
        <f>IF('AOP Critical'!M14="","",'AOP Critical'!M14)</f>
        <v>0.54399999999999993</v>
      </c>
      <c r="M17" s="72">
        <f>IF('AOP Critical'!N14="","",'AOP Critical'!N14)</f>
        <v>0.54549999999999987</v>
      </c>
      <c r="N17" s="72">
        <f>IF('AOP Critical'!O14="","",'AOP Critical'!O14)</f>
        <v>0.54699999999999982</v>
      </c>
      <c r="O17" s="72">
        <f>IF('AOP Critical'!P14="","",'AOP Critical'!P14)</f>
        <v>0.54849999999999977</v>
      </c>
      <c r="P17" s="72">
        <f>IF('AOP Critical'!Q14="","",'AOP Critical'!Q14)</f>
        <v>0.54999999999999971</v>
      </c>
      <c r="Q17" s="72">
        <f>IF('AOP Critical'!R14="","",'AOP Critical'!R14)</f>
        <v>0.55149999999999966</v>
      </c>
      <c r="R17" s="72">
        <f>IF('AOP Critical'!S14="","",'AOP Critical'!S14)</f>
        <v>0.54510000000000003</v>
      </c>
      <c r="S17" s="72" t="str">
        <f>IF('AOP Critical'!T14="","",'AOP Critical'!T14)</f>
        <v/>
      </c>
      <c r="T17" s="72" t="str">
        <f>IF('AOP Critical'!U14="","",'AOP Critical'!U14)</f>
        <v/>
      </c>
      <c r="U17" s="72" t="str">
        <f>IF('AOP Critical'!V14="","",'AOP Critical'!V14)</f>
        <v/>
      </c>
      <c r="V17" s="72" t="str">
        <f>IF('AOP Critical'!W14="","",'AOP Critical'!W14)</f>
        <v/>
      </c>
    </row>
    <row r="18" spans="1:22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2">
        <f>IF('AOP Critical'!L15="","",'AOP Critical'!L15)</f>
        <v>0.51780000000000004</v>
      </c>
      <c r="L18" s="72">
        <f>IF('AOP Critical'!M15="","",'AOP Critical'!M15)</f>
        <v>0.54100000000000004</v>
      </c>
      <c r="M18" s="72">
        <f>IF('AOP Critical'!N15="","",'AOP Critical'!N15)</f>
        <v>0.54100000000000004</v>
      </c>
      <c r="N18" s="72">
        <f>IF('AOP Critical'!O15="","",'AOP Critical'!O15)</f>
        <v>0.53969999999999996</v>
      </c>
      <c r="O18" s="72">
        <f>IF('AOP Critical'!P15="","",'AOP Critical'!P15)</f>
        <v>0.54100000000000004</v>
      </c>
      <c r="P18" s="72">
        <f>IF('AOP Critical'!Q15="","",'AOP Critical'!Q15)</f>
        <v>0.53800000000000003</v>
      </c>
      <c r="Q18" s="72">
        <f>IF('AOP Critical'!R15="","",'AOP Critical'!R15)</f>
        <v>0.53600000000000003</v>
      </c>
      <c r="R18" s="72">
        <f>IF('AOP Critical'!S15="","",'AOP Critical'!S15)</f>
        <v>0.5363</v>
      </c>
      <c r="S18" s="72" t="str">
        <f>IF('AOP Critical'!T15="","",'AOP Critical'!T15)</f>
        <v/>
      </c>
      <c r="T18" s="72" t="str">
        <f>IF('AOP Critical'!U15="","",'AOP Critical'!U15)</f>
        <v/>
      </c>
      <c r="U18" s="72" t="str">
        <f>IF('AOP Critical'!V15="","",'AOP Critical'!V15)</f>
        <v/>
      </c>
      <c r="V18" s="72" t="str">
        <f>IF('AOP Critical'!W15="","",'AOP Critical'!W15)</f>
        <v/>
      </c>
    </row>
    <row r="19" spans="1:22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3">
        <f>IF('AOP Critical'!L49="","",'AOP Critical'!L49)</f>
        <v>0.73199999999999998</v>
      </c>
      <c r="L19" s="73">
        <f>IF('AOP Critical'!M49="","",'AOP Critical'!M49)</f>
        <v>0.72749999999999992</v>
      </c>
      <c r="M19" s="73">
        <f>IF('AOP Critical'!N49="","",'AOP Critical'!N49)</f>
        <v>0.7287499999999999</v>
      </c>
      <c r="N19" s="73">
        <f>IF('AOP Critical'!O49="","",'AOP Critical'!O49)</f>
        <v>0.72999999999999987</v>
      </c>
      <c r="O19" s="73">
        <f>IF('AOP Critical'!P49="","",'AOP Critical'!P49)</f>
        <v>0.73124999999999984</v>
      </c>
      <c r="P19" s="73">
        <f>IF('AOP Critical'!Q49="","",'AOP Critical'!Q49)</f>
        <v>0.73249999999999982</v>
      </c>
      <c r="Q19" s="73">
        <f>IF('AOP Critical'!R49="","",'AOP Critical'!R49)</f>
        <v>0.73374999999999979</v>
      </c>
      <c r="R19" s="73">
        <f>IF('AOP Critical'!S49="","",'AOP Critical'!S49)</f>
        <v>0.73499999999999976</v>
      </c>
      <c r="S19" s="73">
        <f>IF('AOP Critical'!T49="","",'AOP Critical'!T49)</f>
        <v>0.73624999999999974</v>
      </c>
      <c r="T19" s="73">
        <f>IF('AOP Critical'!U49="","",'AOP Critical'!U49)</f>
        <v>0.73749999999999971</v>
      </c>
      <c r="U19" s="73">
        <f>IF('AOP Critical'!V49="","",'AOP Critical'!V49)</f>
        <v>0.73874999999999968</v>
      </c>
      <c r="V19" s="73">
        <f>IF('AOP Critical'!W49="","",'AOP Critical'!W49)</f>
        <v>0.73999999999999966</v>
      </c>
    </row>
    <row r="20" spans="1:22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3">
        <f>IF('AOP Critical'!L50="","",'AOP Critical'!L50)</f>
        <v>0.69299999999999995</v>
      </c>
      <c r="L20" s="73">
        <f>IF('AOP Critical'!M50="","",'AOP Critical'!M50)</f>
        <v>0.71099999999999997</v>
      </c>
      <c r="M20" s="73">
        <f>IF('AOP Critical'!N50="","",'AOP Critical'!N50)</f>
        <v>0.72499999999999998</v>
      </c>
      <c r="N20" s="73">
        <f>IF('AOP Critical'!O50="","",'AOP Critical'!O50)</f>
        <v>0.72299999999999998</v>
      </c>
      <c r="O20" s="73">
        <f>IF('AOP Critical'!P50="","",'AOP Critical'!P50)</f>
        <v>0.73599999999999999</v>
      </c>
      <c r="P20" s="73">
        <f>IF('AOP Critical'!Q50="","",'AOP Critical'!Q50)</f>
        <v>0.74150000000000005</v>
      </c>
      <c r="Q20" s="73">
        <f>IF('AOP Critical'!R50="","",'AOP Critical'!R50)</f>
        <v>0.74099999999999999</v>
      </c>
      <c r="R20" s="73">
        <f>IF('AOP Critical'!S50="","",'AOP Critical'!S50)</f>
        <v>0.74450000000000005</v>
      </c>
      <c r="S20" s="73" t="str">
        <f>IF('AOP Critical'!T50="","",'AOP Critical'!T50)</f>
        <v/>
      </c>
      <c r="T20" s="73" t="str">
        <f>IF('AOP Critical'!U50="","",'AOP Critical'!U50)</f>
        <v/>
      </c>
      <c r="U20" s="73" t="str">
        <f>IF('AOP Critical'!V50="","",'AOP Critical'!V50)</f>
        <v/>
      </c>
      <c r="V20" s="73" t="str">
        <f>IF('AOP Critical'!W50="","",'AOP Critical'!W50)</f>
        <v/>
      </c>
    </row>
    <row r="21" spans="1:22">
      <c r="A21" s="6" t="s">
        <v>25</v>
      </c>
    </row>
    <row r="22" spans="1:22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2">
        <f>IF('AOP Critical'!L16="","",'AOP Critical'!L16)</f>
        <v>0.11774014693384624</v>
      </c>
      <c r="L23" s="72">
        <f>IF('AOP Critical'!M16="","",'AOP Critical'!M16)</f>
        <v>7.6823633140503819E-2</v>
      </c>
      <c r="M23" s="72">
        <f>IF('AOP Critical'!N16="","",'AOP Critical'!N16)</f>
        <v>7.3999999999999996E-2</v>
      </c>
      <c r="N23" s="72">
        <f>IF('AOP Critical'!O16="","",'AOP Critical'!O16)</f>
        <v>9.9962463776604421E-2</v>
      </c>
      <c r="O23" s="72">
        <f>IF('AOP Critical'!P16="","",'AOP Critical'!P16)</f>
        <v>0.1038498729590533</v>
      </c>
      <c r="P23" s="72">
        <f>IF('AOP Critical'!Q16="","",'AOP Critical'!Q16)</f>
        <v>0.11814554963094943</v>
      </c>
      <c r="Q23" s="72">
        <f>IF('AOP Critical'!R16="","",'AOP Critical'!R16)</f>
        <v>0.13344842106998206</v>
      </c>
      <c r="R23" s="72">
        <f>IF('AOP Critical'!S16="","",'AOP Critical'!S16)</f>
        <v>0.13972119594175969</v>
      </c>
      <c r="S23" s="72" t="str">
        <f>IF('AOP Critical'!T16="","",'AOP Critical'!T16)</f>
        <v/>
      </c>
      <c r="T23" s="72" t="str">
        <f>IF('AOP Critical'!U16="","",'AOP Critical'!U16)</f>
        <v/>
      </c>
      <c r="U23" s="72" t="str">
        <f>IF('AOP Critical'!V16="","",'AOP Critical'!V16)</f>
        <v/>
      </c>
      <c r="V23" s="72" t="str">
        <f>IF('AOP Critical'!W16="","",'AOP Critical'!W16)</f>
        <v/>
      </c>
    </row>
    <row r="24" spans="1:22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2">
        <f>IF('AOP Critical'!L17="","",'AOP Critical'!L17)</f>
        <v>-4.253311543933095E-2</v>
      </c>
      <c r="L24" s="72">
        <f>IF('AOP Critical'!M17="","",'AOP Critical'!M17)</f>
        <v>7.8013174622509063E-2</v>
      </c>
      <c r="M24" s="72">
        <f>IF('AOP Critical'!N17="","",'AOP Critical'!N17)</f>
        <v>0.14699999999999999</v>
      </c>
      <c r="N24" s="72">
        <f>IF('AOP Critical'!O17="","",'AOP Critical'!O17)</f>
        <v>0.13678322320362704</v>
      </c>
      <c r="O24" s="72">
        <f>IF('AOP Critical'!P17="","",'AOP Critical'!P17)</f>
        <v>0.14558303908159406</v>
      </c>
      <c r="P24" s="72">
        <f>IF('AOP Critical'!Q17="","",'AOP Critical'!Q17)</f>
        <v>0.12590494186157489</v>
      </c>
      <c r="Q24" s="72">
        <f>IF('AOP Critical'!R17="","",'AOP Critical'!R17)</f>
        <v>0.10712720377087674</v>
      </c>
      <c r="R24" s="72">
        <f>IF('AOP Critical'!S17="","",'AOP Critical'!S17)</f>
        <v>0.12649723977955013</v>
      </c>
      <c r="S24" s="72" t="str">
        <f>IF('AOP Critical'!T17="","",'AOP Critical'!T17)</f>
        <v/>
      </c>
      <c r="T24" s="72" t="str">
        <f>IF('AOP Critical'!U17="","",'AOP Critical'!U17)</f>
        <v/>
      </c>
      <c r="U24" s="72" t="str">
        <f>IF('AOP Critical'!V17="","",'AOP Critical'!V17)</f>
        <v/>
      </c>
      <c r="V24" s="72" t="str">
        <f>IF('AOP Critical'!W17="","",'AOP Critical'!W17)</f>
        <v/>
      </c>
    </row>
    <row r="25" spans="1:22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5">
        <f>IF('AOP Critical'!L18="","",'AOP Critical'!L18)</f>
        <v>0.254</v>
      </c>
      <c r="L25" s="75">
        <f>IF('AOP Critical'!M18="","",'AOP Critical'!M18)</f>
        <v>0.44800000000000001</v>
      </c>
      <c r="M25" s="75">
        <f>IF('AOP Critical'!N18="","",'AOP Critical'!N18)</f>
        <v>0.96700000000000008</v>
      </c>
      <c r="N25" s="75">
        <f>IF('AOP Critical'!O18="","",'AOP Critical'!O18)</f>
        <v>1.331</v>
      </c>
      <c r="O25" s="75">
        <f>IF('AOP Critical'!P18="","",'AOP Critical'!P18)</f>
        <v>1.595</v>
      </c>
      <c r="P25" s="75">
        <f>IF('AOP Critical'!Q18="","",'AOP Critical'!Q18)</f>
        <v>2.1840000000000002</v>
      </c>
      <c r="Q25" s="75">
        <f>IF('AOP Critical'!R18="","",'AOP Critical'!R18)</f>
        <v>3.0979999999999999</v>
      </c>
      <c r="R25" s="75">
        <f>IF('AOP Critical'!S18="","",'AOP Critical'!S18)</f>
        <v>3.7</v>
      </c>
      <c r="S25" s="75" t="str">
        <f>IF('AOP Critical'!T18="","",'AOP Critical'!T18)</f>
        <v/>
      </c>
      <c r="T25" s="75" t="str">
        <f>IF('AOP Critical'!U18="","",'AOP Critical'!U18)</f>
        <v/>
      </c>
      <c r="U25" s="75" t="str">
        <f>IF('AOP Critical'!V18="","",'AOP Critical'!V18)</f>
        <v/>
      </c>
      <c r="V25" s="75" t="str">
        <f>IF('AOP Critical'!W18="","",'AOP Critical'!W18)</f>
        <v/>
      </c>
    </row>
    <row r="26" spans="1:22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5">
        <f>IF('AOP Critical'!L19="","",'AOP Critical'!L19)</f>
        <v>0.28899999999999998</v>
      </c>
      <c r="L26" s="75">
        <f>IF('AOP Critical'!M19="","",'AOP Critical'!M19)</f>
        <v>0.46800000000000003</v>
      </c>
      <c r="M26" s="75">
        <f>IF('AOP Critical'!N19="","",'AOP Critical'!N19)</f>
        <v>1.2749999999999999</v>
      </c>
      <c r="N26" s="75">
        <f>IF('AOP Critical'!O19="","",'AOP Critical'!O19)</f>
        <v>1.5509999999999999</v>
      </c>
      <c r="O26" s="75">
        <f>IF('AOP Critical'!P19="","",'AOP Critical'!P19)</f>
        <v>1.9910000000000001</v>
      </c>
      <c r="P26" s="75">
        <f>IF('AOP Critical'!Q19="","",'AOP Critical'!Q19)</f>
        <v>2.5489999999999999</v>
      </c>
      <c r="Q26" s="75">
        <f>IF('AOP Critical'!R19="","",'AOP Critical'!R19)</f>
        <v>3.0990000000000002</v>
      </c>
      <c r="R26" s="75">
        <f>IF('AOP Critical'!S19="","",'AOP Critical'!S19)</f>
        <v>3.895</v>
      </c>
      <c r="S26" s="75" t="str">
        <f>IF('AOP Critical'!T19="","",'AOP Critical'!T19)</f>
        <v/>
      </c>
      <c r="T26" s="75" t="str">
        <f>IF('AOP Critical'!U19="","",'AOP Critical'!U19)</f>
        <v/>
      </c>
      <c r="U26" s="75" t="str">
        <f>IF('AOP Critical'!V19="","",'AOP Critical'!V19)</f>
        <v/>
      </c>
      <c r="V26" s="75" t="str">
        <f>IF('AOP Critical'!W19="","",'AOP Critical'!W19)</f>
        <v/>
      </c>
    </row>
    <row r="27" spans="1:22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71">
        <f>IF('AOP Critical'!L20="","",'AOP Critical'!L20)</f>
        <v>0.28399999999999997</v>
      </c>
      <c r="L27" s="71">
        <f>IF('AOP Critical'!M20="","",'AOP Critical'!M20)</f>
        <v>0.28260000000000002</v>
      </c>
      <c r="M27" s="71">
        <f>IF('AOP Critical'!N20="","",'AOP Critical'!N20)</f>
        <v>0.28999999999999998</v>
      </c>
      <c r="N27" s="71">
        <f>IF('AOP Critical'!O20="","",'AOP Critical'!O20)</f>
        <v>0.28999999999999998</v>
      </c>
      <c r="O27" s="71">
        <f>IF('AOP Critical'!P20="","",'AOP Critical'!P20)</f>
        <v>0.27</v>
      </c>
      <c r="P27" s="71">
        <f>IF('AOP Critical'!Q20="","",'AOP Critical'!Q20)</f>
        <v>0.26</v>
      </c>
      <c r="Q27" s="71">
        <f>IF('AOP Critical'!R20="","",'AOP Critical'!R20)</f>
        <v>0.24</v>
      </c>
      <c r="R27" s="71">
        <f>IF('AOP Critical'!S20="","",'AOP Critical'!S20)</f>
        <v>0.23</v>
      </c>
      <c r="S27" s="71" t="str">
        <f>IF('AOP Critical'!T20="","",'AOP Critical'!T20)</f>
        <v/>
      </c>
      <c r="T27" s="71" t="str">
        <f>IF('AOP Critical'!U20="","",'AOP Critical'!U20)</f>
        <v/>
      </c>
      <c r="U27" s="71" t="str">
        <f>IF('AOP Critical'!V20="","",'AOP Critical'!V20)</f>
        <v/>
      </c>
      <c r="V27" s="71" t="str">
        <f>IF('AOP Critical'!W20="","",'AOP Critical'!W20)</f>
        <v/>
      </c>
    </row>
    <row r="28" spans="1:22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71">
        <f>IF('AOP Critical'!L21="","",'AOP Critical'!L21)</f>
        <v>0.27400000000000002</v>
      </c>
      <c r="L28" s="71">
        <f>IF('AOP Critical'!M21="","",'AOP Critical'!M21)</f>
        <v>0.29899999999999999</v>
      </c>
      <c r="M28" s="71">
        <f>IF('AOP Critical'!N21="","",'AOP Critical'!N21)</f>
        <v>0.28999999999999998</v>
      </c>
      <c r="N28" s="71">
        <f>IF('AOP Critical'!O21="","",'AOP Critical'!O21)</f>
        <v>0.3</v>
      </c>
      <c r="O28" s="71">
        <f>IF('AOP Critical'!P21="","",'AOP Critical'!P21)</f>
        <v>0.31</v>
      </c>
      <c r="P28" s="71">
        <f>IF('AOP Critical'!Q21="","",'AOP Critical'!Q21)</f>
        <v>0.28999999999999998</v>
      </c>
      <c r="Q28" s="71">
        <f>IF('AOP Critical'!R21="","",'AOP Critical'!R21)</f>
        <v>0.3</v>
      </c>
      <c r="R28" s="71">
        <f>IF('AOP Critical'!S21="","",'AOP Critical'!S21)</f>
        <v>0.3</v>
      </c>
      <c r="S28" s="71" t="str">
        <f>IF('AOP Critical'!T21="","",'AOP Critical'!T21)</f>
        <v/>
      </c>
      <c r="T28" s="71" t="str">
        <f>IF('AOP Critical'!U21="","",'AOP Critical'!U21)</f>
        <v/>
      </c>
      <c r="U28" s="71" t="str">
        <f>IF('AOP Critical'!V21="","",'AOP Critical'!V21)</f>
        <v/>
      </c>
      <c r="V28" s="71" t="str">
        <f>IF('AOP Critical'!W21="","",'AOP Critical'!W21)</f>
        <v/>
      </c>
    </row>
    <row r="29" spans="1:22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2">
        <f>IF('AOP Critical'!L51="","",'AOP Critical'!L51)</f>
        <v>0.34700072985878605</v>
      </c>
      <c r="L29" s="72">
        <f>IF('AOP Critical'!M51="","",'AOP Critical'!M51)</f>
        <v>0.32854527661902383</v>
      </c>
      <c r="M29" s="72">
        <f>IF('AOP Critical'!N51="","",'AOP Critical'!N51)</f>
        <v>0.30191652751587683</v>
      </c>
      <c r="N29" s="72">
        <f>IF('AOP Critical'!O51="","",'AOP Critical'!O51)</f>
        <v>0.32233175889748933</v>
      </c>
      <c r="O29" s="72">
        <f>IF('AOP Critical'!P51="","",'AOP Critical'!P51)</f>
        <v>0.32732965712929335</v>
      </c>
      <c r="P29" s="72">
        <f>IF('AOP Critical'!Q51="","",'AOP Critical'!Q51)</f>
        <v>0.31564073493651035</v>
      </c>
      <c r="Q29" s="72">
        <f>IF('AOP Critical'!R51="","",'AOP Critical'!R51)</f>
        <v>0.33096935042775388</v>
      </c>
      <c r="R29" s="72">
        <f>IF('AOP Critical'!S51="","",'AOP Critical'!S51)</f>
        <v>0.33943248102419393</v>
      </c>
      <c r="S29" s="72" t="str">
        <f>IF('AOP Critical'!T51="","",'AOP Critical'!T51)</f>
        <v/>
      </c>
      <c r="T29" s="72" t="str">
        <f>IF('AOP Critical'!U51="","",'AOP Critical'!U51)</f>
        <v/>
      </c>
      <c r="U29" s="72" t="str">
        <f>IF('AOP Critical'!V51="","",'AOP Critical'!V51)</f>
        <v/>
      </c>
      <c r="V29" s="72" t="str">
        <f>IF('AOP Critical'!W51="","",'AOP Critical'!W51)</f>
        <v/>
      </c>
    </row>
    <row r="30" spans="1:22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2">
        <f>IF('AOP Critical'!L52="","",'AOP Critical'!L52)</f>
        <v>0.36591770011686803</v>
      </c>
      <c r="L30" s="72">
        <f>IF('AOP Critical'!M52="","",'AOP Critical'!M52)</f>
        <v>0.43346514302305739</v>
      </c>
      <c r="M30" s="72">
        <f>IF('AOP Critical'!N52="","",'AOP Critical'!N52)</f>
        <v>0.41319844449711768</v>
      </c>
      <c r="N30" s="72">
        <f>IF('AOP Critical'!O52="","",'AOP Critical'!O52)</f>
        <v>0.41195005974326776</v>
      </c>
      <c r="O30" s="72">
        <f>IF('AOP Critical'!P52="","",'AOP Critical'!P52)</f>
        <v>0.40747704161607318</v>
      </c>
      <c r="P30" s="72">
        <f>IF('AOP Critical'!Q52="","",'AOP Critical'!Q52)</f>
        <v>0.36849551470072495</v>
      </c>
      <c r="Q30" s="72">
        <f>IF('AOP Critical'!R52="","",'AOP Critical'!R52)</f>
        <v>0.35573521911109235</v>
      </c>
      <c r="R30" s="72">
        <f>IF('AOP Critical'!S52="","",'AOP Critical'!S52)</f>
        <v>0.36691053201149237</v>
      </c>
      <c r="S30" s="72" t="str">
        <f>IF('AOP Critical'!T52="","",'AOP Critical'!T52)</f>
        <v/>
      </c>
      <c r="T30" s="72" t="str">
        <f>IF('AOP Critical'!U52="","",'AOP Critical'!U52)</f>
        <v/>
      </c>
      <c r="U30" s="72" t="str">
        <f>IF('AOP Critical'!V52="","",'AOP Critical'!V52)</f>
        <v/>
      </c>
      <c r="V30" s="72" t="str">
        <f>IF('AOP Critical'!W52="","",'AOP Critical'!W52)</f>
        <v/>
      </c>
    </row>
    <row r="31" spans="1:22">
      <c r="A31" s="6" t="s">
        <v>26</v>
      </c>
    </row>
    <row r="32" spans="1:22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71">
        <f>IF('AOP Critical'!L26="","",'AOP Critical'!L26)</f>
        <v>0.34</v>
      </c>
      <c r="L33" s="71">
        <f>IF('AOP Critical'!M26="","",'AOP Critical'!M26)</f>
        <v>0.34</v>
      </c>
      <c r="M33" s="71">
        <f>IF('AOP Critical'!N26="","",'AOP Critical'!N26)</f>
        <v>0.34</v>
      </c>
      <c r="N33" s="71">
        <f>IF('AOP Critical'!O26="","",'AOP Critical'!O26)</f>
        <v>0.34</v>
      </c>
      <c r="O33" s="71">
        <f>IF('AOP Critical'!P26="","",'AOP Critical'!P26)</f>
        <v>0.34</v>
      </c>
      <c r="P33" s="71">
        <f>IF('AOP Critical'!Q26="","",'AOP Critical'!Q26)</f>
        <v>0.34</v>
      </c>
      <c r="Q33" s="71">
        <f>IF('AOP Critical'!R26="","",'AOP Critical'!R26)</f>
        <v>0.34</v>
      </c>
      <c r="R33" s="71">
        <f>IF('AOP Critical'!S26="","",'AOP Critical'!S26)</f>
        <v>0.34</v>
      </c>
      <c r="S33" s="71" t="str">
        <f>IF('AOP Critical'!T26="","",'AOP Critical'!T26)</f>
        <v/>
      </c>
      <c r="T33" s="71" t="str">
        <f>IF('AOP Critical'!U26="","",'AOP Critical'!U26)</f>
        <v/>
      </c>
      <c r="U33" s="71" t="str">
        <f>IF('AOP Critical'!V26="","",'AOP Critical'!V26)</f>
        <v/>
      </c>
      <c r="V33" s="71" t="str">
        <f>IF('AOP Critical'!W26="","",'AOP Critical'!W26)</f>
        <v/>
      </c>
    </row>
    <row r="34" spans="1:22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71">
        <f>IF('AOP Critical'!L27="","",'AOP Critical'!L27)</f>
        <v>0.318</v>
      </c>
      <c r="L34" s="71">
        <f>IF('AOP Critical'!M27="","",'AOP Critical'!M27)</f>
        <v>0.35799999999999998</v>
      </c>
      <c r="M34" s="71">
        <f>IF('AOP Critical'!N27="","",'AOP Critical'!N27)</f>
        <v>0.41499999999999998</v>
      </c>
      <c r="N34" s="71">
        <f>IF('AOP Critical'!O27="","",'AOP Critical'!O27)</f>
        <v>0.40500000000000003</v>
      </c>
      <c r="O34" s="71">
        <f>IF('AOP Critical'!P27="","",'AOP Critical'!P27)</f>
        <v>0.371</v>
      </c>
      <c r="P34" s="71">
        <f>IF('AOP Critical'!Q27="","",'AOP Critical'!Q27)</f>
        <v>0.41899999999999998</v>
      </c>
      <c r="Q34" s="71">
        <f>IF('AOP Critical'!R27="","",'AOP Critical'!R27)</f>
        <v>0.39900000000000002</v>
      </c>
      <c r="R34" s="71">
        <f>IF('AOP Critical'!S27="","",'AOP Critical'!S27)</f>
        <v>0.35</v>
      </c>
      <c r="S34" s="71" t="str">
        <f>IF('AOP Critical'!T27="","",'AOP Critical'!T27)</f>
        <v/>
      </c>
      <c r="T34" s="71" t="str">
        <f>IF('AOP Critical'!U27="","",'AOP Critical'!U27)</f>
        <v/>
      </c>
      <c r="U34" s="71" t="str">
        <f>IF('AOP Critical'!V27="","",'AOP Critical'!V27)</f>
        <v/>
      </c>
      <c r="V34" s="71" t="str">
        <f>IF('AOP Critical'!W27="","",'AOP Critical'!W27)</f>
        <v/>
      </c>
    </row>
    <row r="35" spans="1:22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71">
        <f>IF('AOP Critical'!L22="","",'AOP Critical'!L22)</f>
        <v>0.9</v>
      </c>
      <c r="L35" s="71">
        <f>IF('AOP Critical'!M22="","",'AOP Critical'!M22)</f>
        <v>0.9</v>
      </c>
      <c r="M35" s="71">
        <f>IF('AOP Critical'!N22="","",'AOP Critical'!N22)</f>
        <v>0.9</v>
      </c>
      <c r="N35" s="71">
        <f>IF('AOP Critical'!O22="","",'AOP Critical'!O22)</f>
        <v>0.9</v>
      </c>
      <c r="O35" s="71">
        <f>IF('AOP Critical'!P22="","",'AOP Critical'!P22)</f>
        <v>0.9</v>
      </c>
      <c r="P35" s="71">
        <f>IF('AOP Critical'!Q22="","",'AOP Critical'!Q22)</f>
        <v>0.9</v>
      </c>
      <c r="Q35" s="71">
        <f>IF('AOP Critical'!R22="","",'AOP Critical'!R22)</f>
        <v>0.9</v>
      </c>
      <c r="R35" s="71">
        <f>IF('AOP Critical'!S22="","",'AOP Critical'!S22)</f>
        <v>0.9</v>
      </c>
      <c r="S35" s="71">
        <f>IF('AOP Critical'!T22="","",'AOP Critical'!T22)</f>
        <v>0.9</v>
      </c>
      <c r="T35" s="71">
        <f>IF('AOP Critical'!U22="","",'AOP Critical'!U22)</f>
        <v>0.9</v>
      </c>
      <c r="U35" s="71">
        <f>IF('AOP Critical'!V22="","",'AOP Critical'!V22)</f>
        <v>0.9</v>
      </c>
      <c r="V35" s="71">
        <f>IF('AOP Critical'!W22="","",'AOP Critical'!W22)</f>
        <v>0.9</v>
      </c>
    </row>
    <row r="36" spans="1:22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71">
        <f>IF('AOP Critical'!L23="","",'AOP Critical'!L23)</f>
        <v>0.81</v>
      </c>
      <c r="L36" s="71">
        <f>IF('AOP Critical'!M23="","",'AOP Critical'!M23)</f>
        <v>0.78</v>
      </c>
      <c r="M36" s="71">
        <f>IF('AOP Critical'!N23="","",'AOP Critical'!N23)</f>
        <v>0.8</v>
      </c>
      <c r="N36" s="71">
        <f>IF('AOP Critical'!O23="","",'AOP Critical'!O23)</f>
        <v>0.82</v>
      </c>
      <c r="O36" s="71">
        <f>IF('AOP Critical'!P23="","",'AOP Critical'!P23)</f>
        <v>0.79500000000000004</v>
      </c>
      <c r="P36" s="71">
        <f>IF('AOP Critical'!Q23="","",'AOP Critical'!Q23)</f>
        <v>0.86</v>
      </c>
      <c r="Q36" s="71">
        <f>IF('AOP Critical'!R23="","",'AOP Critical'!R23)</f>
        <v>0.88</v>
      </c>
      <c r="R36" s="71">
        <f>IF('AOP Critical'!S23="","",'AOP Critical'!S23)</f>
        <v>0.94</v>
      </c>
      <c r="S36" s="71" t="str">
        <f>IF('AOP Critical'!T23="","",'AOP Critical'!T23)</f>
        <v/>
      </c>
      <c r="T36" s="71" t="str">
        <f>IF('AOP Critical'!U23="","",'AOP Critical'!U23)</f>
        <v/>
      </c>
      <c r="U36" s="71" t="str">
        <f>IF('AOP Critical'!V23="","",'AOP Critical'!V23)</f>
        <v/>
      </c>
      <c r="V36" s="71" t="str">
        <f>IF('AOP Critical'!W23="","",'AOP Critical'!W23)</f>
        <v/>
      </c>
    </row>
    <row r="37" spans="1:22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2" t="str">
        <f>IF('AOP Critical'!L43="","",'AOP Critical'!L43)</f>
        <v/>
      </c>
      <c r="L37" s="72" t="str">
        <f>IF('AOP Critical'!M43="","",'AOP Critical'!M43)</f>
        <v/>
      </c>
      <c r="M37" s="72">
        <f>IF('AOP Critical'!N43="","",'AOP Critical'!N43)</f>
        <v>0.05</v>
      </c>
      <c r="N37" s="72" t="str">
        <f>IF('AOP Critical'!O43="","",'AOP Critical'!O43)</f>
        <v/>
      </c>
      <c r="O37" s="72" t="str">
        <f>IF('AOP Critical'!P43="","",'AOP Critical'!P43)</f>
        <v/>
      </c>
      <c r="P37" s="72">
        <f>IF('AOP Critical'!Q43="","",'AOP Critical'!Q43)</f>
        <v>5.5E-2</v>
      </c>
      <c r="Q37" s="72" t="str">
        <f>IF('AOP Critical'!R43="","",'AOP Critical'!R43)</f>
        <v/>
      </c>
      <c r="R37" s="72" t="str">
        <f>IF('AOP Critical'!S43="","",'AOP Critical'!S43)</f>
        <v/>
      </c>
      <c r="S37" s="72" t="str">
        <f>IF('AOP Critical'!T43="","",'AOP Critical'!T43)</f>
        <v/>
      </c>
      <c r="T37" s="72" t="str">
        <f>IF('AOP Critical'!U43="","",'AOP Critical'!U43)</f>
        <v/>
      </c>
      <c r="U37" s="72" t="str">
        <f>IF('AOP Critical'!V43="","",'AOP Critical'!V43)</f>
        <v/>
      </c>
      <c r="V37" s="72" t="str">
        <f>IF('AOP Critical'!W43="","",'AOP Critical'!W43)</f>
        <v/>
      </c>
    </row>
    <row r="38" spans="1:22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2">
        <f>IF('AOP Critical'!L45="","",'AOP Critical'!L45)</f>
        <v>0.4</v>
      </c>
      <c r="L39" s="72">
        <f>IF('AOP Critical'!M45="","",'AOP Critical'!M45)</f>
        <v>0.4</v>
      </c>
      <c r="M39" s="72">
        <f>IF('AOP Critical'!N45="","",'AOP Critical'!N45)</f>
        <v>0.4</v>
      </c>
      <c r="N39" s="72">
        <f>IF('AOP Critical'!O45="","",'AOP Critical'!O45)</f>
        <v>0.4</v>
      </c>
      <c r="O39" s="72">
        <f>IF('AOP Critical'!P45="","",'AOP Critical'!P45)</f>
        <v>0.4</v>
      </c>
      <c r="P39" s="72">
        <f>IF('AOP Critical'!Q45="","",'AOP Critical'!Q45)</f>
        <v>0.4</v>
      </c>
      <c r="Q39" s="72">
        <f>IF('AOP Critical'!R45="","",'AOP Critical'!R45)</f>
        <v>0.4</v>
      </c>
      <c r="R39" s="72" t="str">
        <f>IF('AOP Critical'!S45="","",'AOP Critical'!S45)</f>
        <v/>
      </c>
      <c r="S39" s="72" t="str">
        <f>IF('AOP Critical'!T45="","",'AOP Critical'!T45)</f>
        <v/>
      </c>
      <c r="T39" s="72" t="str">
        <f>IF('AOP Critical'!U45="","",'AOP Critical'!U45)</f>
        <v/>
      </c>
      <c r="U39" s="72" t="str">
        <f>IF('AOP Critical'!V45="","",'AOP Critical'!V45)</f>
        <v/>
      </c>
      <c r="V39" s="72" t="str">
        <f>IF('AOP Critical'!W45="","",'AOP Critical'!W45)</f>
        <v/>
      </c>
    </row>
    <row r="40" spans="1:22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2">
        <f>IF('AOP Critical'!L46="","",'AOP Critical'!L46)</f>
        <v>0.66</v>
      </c>
      <c r="L40" s="72">
        <f>IF('AOP Critical'!M46="","",'AOP Critical'!M46)</f>
        <v>0.34</v>
      </c>
      <c r="M40" s="72">
        <f>IF('AOP Critical'!N46="","",'AOP Critical'!N46)</f>
        <v>0.41</v>
      </c>
      <c r="N40" s="72">
        <f>IF('AOP Critical'!O46="","",'AOP Critical'!O46)</f>
        <v>0.39</v>
      </c>
      <c r="O40" s="72">
        <f>IF('AOP Critical'!P46="","",'AOP Critical'!P46)</f>
        <v>0.40799999999999997</v>
      </c>
      <c r="P40" s="72">
        <f>IF('AOP Critical'!Q46="","",'AOP Critical'!Q46)</f>
        <v>0.43</v>
      </c>
      <c r="Q40" s="72">
        <f>IF('AOP Critical'!R46="","",'AOP Critical'!R46)</f>
        <v>0.56000000000000005</v>
      </c>
      <c r="R40" s="72" t="str">
        <f>IF('AOP Critical'!S46="","",'AOP Critical'!S46)</f>
        <v/>
      </c>
      <c r="S40" s="72" t="str">
        <f>IF('AOP Critical'!T46="","",'AOP Critical'!T46)</f>
        <v/>
      </c>
      <c r="T40" s="72" t="str">
        <f>IF('AOP Critical'!U46="","",'AOP Critical'!U46)</f>
        <v/>
      </c>
      <c r="U40" s="72" t="str">
        <f>IF('AOP Critical'!V46="","",'AOP Critical'!V46)</f>
        <v/>
      </c>
      <c r="V40" s="72" t="str">
        <f>IF('AOP Critical'!W46="","",'AOP Critical'!W46)</f>
        <v/>
      </c>
    </row>
    <row r="41" spans="1:22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 t="str">
        <f>IF('AOP Critical'!T48="","",'AOP Critical'!T48)</f>
        <v/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>
      <c r="A43" s="6" t="s">
        <v>27</v>
      </c>
    </row>
    <row r="44" spans="1:22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2" vm="1">
        <f>IF('AOP Critical'!L28="","",'AOP Critical'!L28)</f>
        <v>3.6951550944796852E-2</v>
      </c>
      <c r="L45" s="72" vm="3">
        <f>IF('AOP Critical'!M28="","",'AOP Critical'!M28)</f>
        <v>0.43621586155644376</v>
      </c>
      <c r="M45" s="72" vm="6">
        <f>IF('AOP Critical'!N28="","",'AOP Critical'!N28)</f>
        <v>6.9838696752701823E-2</v>
      </c>
      <c r="N45" s="72" vm="10">
        <f>IF('AOP Critical'!O28="","",'AOP Critical'!O28)</f>
        <v>0.21843539773619547</v>
      </c>
      <c r="O45" s="72" vm="12">
        <f>IF('AOP Critical'!P28="","",'AOP Critical'!P28)</f>
        <v>0.20239261325941293</v>
      </c>
      <c r="P45" s="72" vm="14">
        <f>IF('AOP Critical'!Q28="","",'AOP Critical'!Q28)</f>
        <v>0.29754592225545773</v>
      </c>
      <c r="Q45" s="72" vm="18">
        <f>IF('AOP Critical'!R28="","",'AOP Critical'!R28)</f>
        <v>0.26300517799117751</v>
      </c>
      <c r="R45" s="72" vm="22">
        <f>IF('AOP Critical'!S28="","",'AOP Critical'!S28)</f>
        <v>0.30756202137510114</v>
      </c>
      <c r="S45" s="72" t="str">
        <f>IF('AOP Critical'!T28="","",'AOP Critical'!T28)</f>
        <v/>
      </c>
      <c r="T45" s="72" t="str">
        <f>IF('AOP Critical'!U28="","",'AOP Critical'!U28)</f>
        <v/>
      </c>
      <c r="U45" s="72" t="str">
        <f>IF('AOP Critical'!V28="","",'AOP Critical'!V28)</f>
        <v/>
      </c>
      <c r="V45" s="72" t="str">
        <f>IF('AOP Critical'!W28="","",'AOP Critical'!W28)</f>
        <v/>
      </c>
    </row>
    <row r="46" spans="1:22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2" vm="2">
        <f>IF('AOP Critical'!L29="","",'AOP Critical'!L29)</f>
        <v>-0.21537837470975407</v>
      </c>
      <c r="L46" s="72">
        <f>IF('AOP Critical'!M29="","",'AOP Critical'!M29)</f>
        <v>0.27400000000000002</v>
      </c>
      <c r="M46" s="72" vm="7">
        <f>IF('AOP Critical'!N29="","",'AOP Critical'!N29)</f>
        <v>0.17956999989031885</v>
      </c>
      <c r="N46" s="72" vm="11">
        <f>IF('AOP Critical'!O29="","",'AOP Critical'!O29)</f>
        <v>0.24020098639758425</v>
      </c>
      <c r="O46" s="72" vm="13">
        <f>IF('AOP Critical'!P29="","",'AOP Critical'!P29)</f>
        <v>0.12891206138967748</v>
      </c>
      <c r="P46" s="72" vm="15">
        <f>IF('AOP Critical'!Q29="","",'AOP Critical'!Q29)</f>
        <v>0.37665227402645685</v>
      </c>
      <c r="Q46" s="72" vm="19">
        <f>IF('AOP Critical'!R29="","",'AOP Critical'!R29)</f>
        <v>0.26390638821134749</v>
      </c>
      <c r="R46" s="72" vm="23">
        <f>IF('AOP Critical'!S29="","",'AOP Critical'!S29)</f>
        <v>0.28426058124592513</v>
      </c>
      <c r="S46" s="72" t="str">
        <f>IF('AOP Critical'!T29="","",'AOP Critical'!T29)</f>
        <v/>
      </c>
      <c r="T46" s="72" t="str">
        <f>IF('AOP Critical'!U29="","",'AOP Critical'!U29)</f>
        <v/>
      </c>
      <c r="U46" s="72" t="str">
        <f>IF('AOP Critical'!V29="","",'AOP Critical'!V29)</f>
        <v/>
      </c>
      <c r="V46" s="72" t="str">
        <f>IF('AOP Critical'!W29="","",'AOP Critical'!W29)</f>
        <v/>
      </c>
    </row>
    <row r="47" spans="1:22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2"/>
      <c r="L47" s="72" vm="4">
        <f>IF('AOP Critical'!M30="","",'AOP Critical'!M30)</f>
        <v>9.8925321866648819E-2</v>
      </c>
      <c r="M47" s="72" vm="8">
        <f>IF('AOP Critical'!N30="","",'AOP Critical'!N30)</f>
        <v>0.11712228373869382</v>
      </c>
      <c r="N47" s="72">
        <f>IF('AOP Critical'!O30="","",'AOP Critical'!O30)</f>
        <v>0.15809999999999999</v>
      </c>
      <c r="O47" s="72">
        <f>IF('AOP Critical'!P30="","",'AOP Critical'!P30)</f>
        <v>0.151</v>
      </c>
      <c r="P47" s="72" vm="16">
        <f>IF('AOP Critical'!Q30="","",'AOP Critical'!Q30)</f>
        <v>0.12551463489599346</v>
      </c>
      <c r="Q47" s="72" vm="20">
        <f>IF('AOP Critical'!R30="","",'AOP Critical'!R30)</f>
        <v>0.10280225768958351</v>
      </c>
      <c r="R47" s="72">
        <f>IF('AOP Critical'!S30="","",'AOP Critical'!S30)</f>
        <v>0.13500000000000001</v>
      </c>
      <c r="S47" s="72" t="str">
        <f>IF('AOP Critical'!T30="","",'AOP Critical'!T30)</f>
        <v/>
      </c>
      <c r="T47" s="72" t="str">
        <f>IF('AOP Critical'!U30="","",'AOP Critical'!U30)</f>
        <v/>
      </c>
      <c r="U47" s="72" t="str">
        <f>IF('AOP Critical'!V30="","",'AOP Critical'!V30)</f>
        <v/>
      </c>
      <c r="V47" s="72" t="str">
        <f>IF('AOP Critical'!W30="","",'AOP Critical'!W30)</f>
        <v/>
      </c>
    </row>
    <row r="48" spans="1:22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2">
        <f>IF('AOP Critical'!L31="","",'AOP Critical'!L31)</f>
        <v>0.32500000000000001</v>
      </c>
      <c r="L48" s="72" vm="5">
        <f>IF('AOP Critical'!M31="","",'AOP Critical'!M31)</f>
        <v>0.19016698273293486</v>
      </c>
      <c r="M48" s="72" vm="9">
        <f>IF('AOP Critical'!N31="","",'AOP Critical'!N31)</f>
        <v>0.14313042982821633</v>
      </c>
      <c r="N48" s="72">
        <f>IF('AOP Critical'!O31="","",'AOP Critical'!O31)</f>
        <v>0.2399</v>
      </c>
      <c r="O48" s="72">
        <f>IF('AOP Critical'!P31="","",'AOP Critical'!P31)</f>
        <v>0.20599999999999999</v>
      </c>
      <c r="P48" s="72" vm="17">
        <f>IF('AOP Critical'!Q31="","",'AOP Critical'!Q31)</f>
        <v>0.15714973912715791</v>
      </c>
      <c r="Q48" s="72" vm="21">
        <f>IF('AOP Critical'!R31="","",'AOP Critical'!R31)</f>
        <v>0.10382365349216505</v>
      </c>
      <c r="R48" s="72">
        <f>IF('AOP Critical'!S31="","",'AOP Critical'!S31)</f>
        <v>0.151</v>
      </c>
      <c r="S48" s="72" t="str">
        <f>IF('AOP Critical'!T31="","",'AOP Critical'!T31)</f>
        <v/>
      </c>
      <c r="T48" s="72" t="str">
        <f>IF('AOP Critical'!U31="","",'AOP Critical'!U31)</f>
        <v/>
      </c>
      <c r="U48" s="72" t="str">
        <f>IF('AOP Critical'!V31="","",'AOP Critical'!V31)</f>
        <v/>
      </c>
      <c r="V48" s="72" t="str">
        <f>IF('AOP Critical'!W31="","",'AOP Critical'!W31)</f>
        <v/>
      </c>
    </row>
    <row r="49" spans="1:22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4">
        <f>IF('AOP Critical'!L32="","",'AOP Critical'!L32)</f>
        <v>8.6903037999999988</v>
      </c>
      <c r="L49" s="74">
        <f>IF('AOP Critical'!M32="","",'AOP Critical'!M32)</f>
        <v>14.05</v>
      </c>
      <c r="M49" s="74">
        <f>IF('AOP Critical'!N32="","",'AOP Critical'!N32)</f>
        <v>24.179069699999999</v>
      </c>
      <c r="N49" s="74">
        <f>IF('AOP Critical'!O32="","",'AOP Critical'!O32)</f>
        <v>33.551317699999998</v>
      </c>
      <c r="O49" s="74">
        <f>IF('AOP Critical'!P32="","",'AOP Critical'!P32)</f>
        <v>41.442849800000005</v>
      </c>
      <c r="P49" s="74">
        <f>IF('AOP Critical'!Q32="","",'AOP Critical'!Q32)</f>
        <v>60.823965100000009</v>
      </c>
      <c r="Q49" s="74">
        <f>IF('AOP Critical'!R32="","",'AOP Critical'!R32)</f>
        <v>72.599999999999994</v>
      </c>
      <c r="R49" s="74">
        <f>IF('AOP Critical'!S32="","",'AOP Critical'!S32)</f>
        <v>82.449704499999996</v>
      </c>
      <c r="S49" s="74" t="str">
        <f>IF('AOP Critical'!T32="","",'AOP Critical'!T32)</f>
        <v/>
      </c>
      <c r="T49" s="74" t="str">
        <f>IF('AOP Critical'!U32="","",'AOP Critical'!U32)</f>
        <v/>
      </c>
      <c r="U49" s="74" t="str">
        <f>IF('AOP Critical'!V32="","",'AOP Critical'!V32)</f>
        <v/>
      </c>
      <c r="V49" s="74" t="str">
        <f>IF('AOP Critical'!W32="","",'AOP Critical'!W32)</f>
        <v/>
      </c>
    </row>
    <row r="50" spans="1:22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4">
        <f>IF('AOP Critical'!L33="","",'AOP Critical'!L33)</f>
        <v>4.05</v>
      </c>
      <c r="L50" s="74">
        <f>IF('AOP Critical'!M33="","",'AOP Critical'!M33)</f>
        <v>9.7989724000000002</v>
      </c>
      <c r="M50" s="74">
        <f>IF('AOP Critical'!N33="","",'AOP Critical'!N33)</f>
        <v>25.313448100000002</v>
      </c>
      <c r="N50" s="74">
        <f>IF('AOP Critical'!O33="","",'AOP Critical'!O33)</f>
        <v>31.452557499999998</v>
      </c>
      <c r="O50" s="74">
        <f>IF('AOP Critical'!P33="","",'AOP Critical'!P33)</f>
        <v>41.128122899999994</v>
      </c>
      <c r="P50" s="74">
        <f>IF('AOP Critical'!Q33="","",'AOP Critical'!Q33)</f>
        <v>55.164574999999999</v>
      </c>
      <c r="Q50" s="74">
        <f>IF('AOP Critical'!R33="","",'AOP Critical'!R33)</f>
        <v>61.940289700000001</v>
      </c>
      <c r="R50" s="74">
        <f>IF('AOP Critical'!S33="","",'AOP Critical'!S33)</f>
        <v>72.779408199999978</v>
      </c>
      <c r="S50" s="74" t="str">
        <f>IF('AOP Critical'!T33="","",'AOP Critical'!T33)</f>
        <v/>
      </c>
      <c r="T50" s="74" t="str">
        <f>IF('AOP Critical'!U33="","",'AOP Critical'!U33)</f>
        <v/>
      </c>
      <c r="U50" s="74" t="str">
        <f>IF('AOP Critical'!V33="","",'AOP Critical'!V33)</f>
        <v/>
      </c>
      <c r="V50" s="74" t="str">
        <f>IF('AOP Critical'!W33="","",'AOP Critical'!W33)</f>
        <v/>
      </c>
    </row>
    <row r="51" spans="1:22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2" t="str">
        <f>IF('AOP Critical'!L24="","",'AOP Critical'!L24)</f>
        <v/>
      </c>
      <c r="L51" s="72" t="str">
        <f>IF('AOP Critical'!M24="","",'AOP Critical'!M24)</f>
        <v/>
      </c>
      <c r="M51" s="72">
        <f>IF('AOP Critical'!N24="","",'AOP Critical'!N24)</f>
        <v>0.104</v>
      </c>
      <c r="N51" s="72" t="str">
        <f>IF('AOP Critical'!O24="","",'AOP Critical'!O24)</f>
        <v>QTR</v>
      </c>
      <c r="O51" s="72" t="str">
        <f>IF('AOP Critical'!P24="","",'AOP Critical'!P24)</f>
        <v>QTR</v>
      </c>
      <c r="P51" s="72">
        <f>IF('AOP Critical'!Q24="","",'AOP Critical'!Q24)</f>
        <v>0.11799999999999999</v>
      </c>
      <c r="Q51" s="72" t="str">
        <f>IF('AOP Critical'!R24="","",'AOP Critical'!R24)</f>
        <v>QTR</v>
      </c>
      <c r="R51" s="72" t="str">
        <f>IF('AOP Critical'!S24="","",'AOP Critical'!S24)</f>
        <v>QTR</v>
      </c>
      <c r="S51" s="72" t="str">
        <f>IF('AOP Critical'!T24="","",'AOP Critical'!T24)</f>
        <v/>
      </c>
      <c r="T51" s="72" t="str">
        <f>IF('AOP Critical'!U24="","",'AOP Critical'!U24)</f>
        <v>QTR</v>
      </c>
      <c r="U51" s="72" t="str">
        <f>IF('AOP Critical'!V24="","",'AOP Critical'!V24)</f>
        <v>QTR</v>
      </c>
      <c r="V51" s="72" t="str">
        <f>IF('AOP Critical'!W24="","",'AOP Critical'!W24)</f>
        <v/>
      </c>
    </row>
    <row r="52" spans="1:22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0.121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/>
      </c>
      <c r="T52" t="str">
        <f>IF('AOP Critical'!U25="","",'AOP Critical'!U25)</f>
        <v>QTR</v>
      </c>
      <c r="U52" t="str">
        <f>IF('AOP Critical'!V25="","",'AOP Critical'!V25)</f>
        <v>QTR</v>
      </c>
      <c r="V52" t="str">
        <f>IF('AOP Critical'!W25="","",'AOP Critical'!W25)</f>
        <v/>
      </c>
    </row>
    <row r="54" spans="1:22">
      <c r="A54" s="6" t="s">
        <v>28</v>
      </c>
    </row>
    <row r="55" spans="1:22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71" t="str">
        <f>IF('AOP Critical'!L34="","",'AOP Critical'!L34)</f>
        <v/>
      </c>
      <c r="L56" s="71" t="str">
        <f>IF('AOP Critical'!M34="","",'AOP Critical'!M34)</f>
        <v/>
      </c>
      <c r="M56" s="71">
        <f>IF('AOP Critical'!N34="","",'AOP Critical'!N34)</f>
        <v>0.9</v>
      </c>
      <c r="N56" s="71" t="str">
        <f>IF('AOP Critical'!O34="","",'AOP Critical'!O34)</f>
        <v/>
      </c>
      <c r="O56" s="71" t="str">
        <f>IF('AOP Critical'!P34="","",'AOP Critical'!P34)</f>
        <v/>
      </c>
      <c r="P56" s="71">
        <f>IF('AOP Critical'!Q34="","",'AOP Critical'!Q34)</f>
        <v>0.9</v>
      </c>
      <c r="Q56" s="71" t="str">
        <f>IF('AOP Critical'!R34="","",'AOP Critical'!R34)</f>
        <v/>
      </c>
      <c r="R56" s="71" t="str">
        <f>IF('AOP Critical'!S34="","",'AOP Critical'!S34)</f>
        <v/>
      </c>
      <c r="S56" s="71">
        <f>IF('AOP Critical'!T34="","",'AOP Critical'!T34)</f>
        <v>0.9</v>
      </c>
      <c r="T56" s="71" t="str">
        <f>IF('AOP Critical'!U34="","",'AOP Critical'!U34)</f>
        <v/>
      </c>
      <c r="U56" s="71" t="str">
        <f>IF('AOP Critical'!V34="","",'AOP Critical'!V34)</f>
        <v/>
      </c>
      <c r="V56" s="71">
        <f>IF('AOP Critical'!W34="","",'AOP Critical'!W34)</f>
        <v>0.9</v>
      </c>
    </row>
    <row r="57" spans="1:22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71" t="str">
        <f>IF('AOP Critical'!L35="","",'AOP Critical'!L35)</f>
        <v>QTR</v>
      </c>
      <c r="L57" s="71" t="str">
        <f>IF('AOP Critical'!M35="","",'AOP Critical'!M35)</f>
        <v>QTR</v>
      </c>
      <c r="M57" s="71">
        <f>IF('AOP Critical'!N35="","",'AOP Critical'!N35)</f>
        <v>1</v>
      </c>
      <c r="N57" s="71" t="str">
        <f>IF('AOP Critical'!O35="","",'AOP Critical'!O35)</f>
        <v>QTR</v>
      </c>
      <c r="O57" s="71" t="str">
        <f>IF('AOP Critical'!P35="","",'AOP Critical'!P35)</f>
        <v>QTR</v>
      </c>
      <c r="P57" s="71">
        <f>IF('AOP Critical'!Q35="","",'AOP Critical'!Q35)</f>
        <v>0.96199999999999997</v>
      </c>
      <c r="Q57" s="71" t="str">
        <f>IF('AOP Critical'!R35="","",'AOP Critical'!R35)</f>
        <v>QTR</v>
      </c>
      <c r="R57" s="71" t="str">
        <f>IF('AOP Critical'!S35="","",'AOP Critical'!S35)</f>
        <v>QTR</v>
      </c>
      <c r="S57" s="71" t="str">
        <f>IF('AOP Critical'!T35="","",'AOP Critical'!T35)</f>
        <v/>
      </c>
      <c r="T57" s="71" t="str">
        <f>IF('AOP Critical'!U35="","",'AOP Critical'!U35)</f>
        <v/>
      </c>
      <c r="U57" s="71" t="str">
        <f>IF('AOP Critical'!V35="","",'AOP Critical'!V35)</f>
        <v/>
      </c>
      <c r="V57" s="71" t="str">
        <f>IF('AOP Critical'!W35="","",'AOP Critical'!W35)</f>
        <v/>
      </c>
    </row>
    <row r="58" spans="1:22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71" t="str">
        <f>IF('AOP Critical'!L36="","",'AOP Critical'!L36)</f>
        <v/>
      </c>
      <c r="L58" s="71" t="str">
        <f>IF('AOP Critical'!M36="","",'AOP Critical'!M36)</f>
        <v/>
      </c>
      <c r="M58" s="71" t="str">
        <f>IF('AOP Critical'!N36="","",'AOP Critical'!N36)</f>
        <v/>
      </c>
      <c r="N58" s="71">
        <f>IF('AOP Critical'!O36="","",'AOP Critical'!O36)</f>
        <v>0.83</v>
      </c>
      <c r="O58" s="71" t="str">
        <f>IF('AOP Critical'!P36="","",'AOP Critical'!P36)</f>
        <v/>
      </c>
      <c r="P58" s="71">
        <f>IF('AOP Critical'!Q36="","",'AOP Critical'!Q36)</f>
        <v>0.83</v>
      </c>
      <c r="Q58" s="71" t="str">
        <f>IF('AOP Critical'!R36="","",'AOP Critical'!R36)</f>
        <v/>
      </c>
      <c r="R58" s="71" t="str">
        <f>IF('AOP Critical'!S36="","",'AOP Critical'!S36)</f>
        <v/>
      </c>
      <c r="S58" s="71" t="str">
        <f>IF('AOP Critical'!T36="","",'AOP Critical'!T36)</f>
        <v/>
      </c>
      <c r="T58" s="71" t="str">
        <f>IF('AOP Critical'!U36="","",'AOP Critical'!U36)</f>
        <v/>
      </c>
      <c r="U58" s="71" t="str">
        <f>IF('AOP Critical'!V36="","",'AOP Critical'!V36)</f>
        <v/>
      </c>
      <c r="V58" s="71" t="str">
        <f>IF('AOP Critical'!W36="","",'AOP Critical'!W36)</f>
        <v/>
      </c>
    </row>
    <row r="59" spans="1:22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71" t="str">
        <f>IF('AOP Critical'!L37="","",'AOP Critical'!L37)</f>
        <v>HY</v>
      </c>
      <c r="L59" s="71" t="str">
        <f>IF('AOP Critical'!M37="","",'AOP Critical'!M37)</f>
        <v>HY</v>
      </c>
      <c r="M59" s="71" t="str">
        <f>IF('AOP Critical'!N37="","",'AOP Critical'!N37)</f>
        <v>HY</v>
      </c>
      <c r="N59" s="71">
        <f>IF('AOP Critical'!O37="","",'AOP Critical'!O37)</f>
        <v>0.79</v>
      </c>
      <c r="O59" s="71" t="str">
        <f>IF('AOP Critical'!P37="","",'AOP Critical'!P37)</f>
        <v>HY</v>
      </c>
      <c r="P59" s="71">
        <f>IF('AOP Critical'!Q37="","",'AOP Critical'!Q37)</f>
        <v>0.79</v>
      </c>
      <c r="Q59" s="71" t="str">
        <f>IF('AOP Critical'!R37="","",'AOP Critical'!R37)</f>
        <v>HY</v>
      </c>
      <c r="R59" s="71" t="str">
        <f>IF('AOP Critical'!S37="","",'AOP Critical'!S37)</f>
        <v/>
      </c>
      <c r="S59" s="71" t="str">
        <f>IF('AOP Critical'!T37="","",'AOP Critical'!T37)</f>
        <v/>
      </c>
      <c r="T59" s="71" t="str">
        <f>IF('AOP Critical'!U37="","",'AOP Critical'!U37)</f>
        <v/>
      </c>
      <c r="U59" s="71" t="str">
        <f>IF('AOP Critical'!V37="","",'AOP Critical'!V37)</f>
        <v/>
      </c>
      <c r="V59" s="71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66"/>
  <sheetViews>
    <sheetView tabSelected="1" zoomScale="90" zoomScaleNormal="90" workbookViewId="0">
      <pane ySplit="5" topLeftCell="C6" activePane="bottomLeft" state="frozen"/>
      <selection pane="bottomLeft" activeCell="W8" sqref="W8"/>
    </sheetView>
  </sheetViews>
  <sheetFormatPr defaultColWidth="9.140625" defaultRowHeight="14.45"/>
  <cols>
    <col min="1" max="1" width="25.5703125" customWidth="1"/>
    <col min="2" max="2" width="27.28515625" bestFit="1" customWidth="1"/>
    <col min="3" max="3" width="12.140625" style="1" customWidth="1"/>
    <col min="4" max="4" width="26.85546875" customWidth="1"/>
    <col min="5" max="5" width="5.140625" hidden="1" customWidth="1"/>
    <col min="6" max="6" width="4.5703125" hidden="1" customWidth="1"/>
    <col min="7" max="7" width="1.85546875" hidden="1" customWidth="1"/>
    <col min="8" max="8" width="2.7109375" hidden="1" customWidth="1"/>
    <col min="9" max="9" width="5.28515625" bestFit="1" customWidth="1"/>
    <col min="10" max="10" width="9.5703125" bestFit="1" customWidth="1"/>
    <col min="11" max="11" width="6.7109375" customWidth="1"/>
    <col min="12" max="12" width="5.5703125" hidden="1" customWidth="1"/>
    <col min="13" max="13" width="6.85546875" hidden="1" customWidth="1"/>
    <col min="14" max="14" width="6.28515625" customWidth="1"/>
    <col min="15" max="15" width="7.28515625" hidden="1" customWidth="1"/>
    <col min="16" max="16" width="6.140625" hidden="1" customWidth="1"/>
    <col min="17" max="22" width="6.140625" customWidth="1"/>
    <col min="23" max="23" width="6" customWidth="1"/>
    <col min="24" max="24" width="58.85546875" style="20" customWidth="1"/>
    <col min="25" max="25" width="68.140625" customWidth="1"/>
    <col min="26" max="26" width="17.7109375" customWidth="1"/>
    <col min="27" max="27" width="57" style="13" customWidth="1"/>
    <col min="28" max="46" width="8.5703125" customWidth="1"/>
  </cols>
  <sheetData>
    <row r="1" spans="1:27">
      <c r="B1" s="3" t="s">
        <v>39</v>
      </c>
      <c r="C1" s="4">
        <v>46235</v>
      </c>
      <c r="G1" s="6"/>
      <c r="H1" s="6"/>
      <c r="I1" s="6"/>
    </row>
    <row r="2" spans="1:27">
      <c r="B2" s="6"/>
      <c r="C2" s="7"/>
      <c r="E2" s="6"/>
      <c r="F2" s="6"/>
      <c r="G2" s="6"/>
      <c r="H2" s="6"/>
      <c r="I2" s="6"/>
    </row>
    <row r="3" spans="1:27" s="5" customFormat="1" ht="23.45">
      <c r="A3" s="162" t="s">
        <v>40</v>
      </c>
      <c r="B3" s="16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21"/>
      <c r="AA3" s="14"/>
    </row>
    <row r="4" spans="1:27" s="5" customFormat="1">
      <c r="A4" s="163" t="str">
        <f ca="1">"Current Month-Year " &amp; ":" &amp; TEXT(TODAY(),"YYYY-MM")</f>
        <v>Current Month-Year :2026-10</v>
      </c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  <c r="R4" s="163"/>
      <c r="S4" s="163"/>
      <c r="T4" s="163"/>
      <c r="U4" s="163"/>
      <c r="V4" s="163"/>
      <c r="W4" s="163"/>
      <c r="X4" s="163"/>
      <c r="Y4" s="163"/>
      <c r="Z4" s="163"/>
      <c r="AA4" s="163"/>
    </row>
    <row r="5" spans="1:27" ht="27" customHeight="1">
      <c r="A5" s="88" t="s">
        <v>0</v>
      </c>
      <c r="B5" s="35" t="s">
        <v>2</v>
      </c>
      <c r="C5" s="35" t="s">
        <v>3</v>
      </c>
      <c r="D5" s="35" t="s">
        <v>4</v>
      </c>
      <c r="E5" s="164" t="s">
        <v>5</v>
      </c>
      <c r="F5" s="164"/>
      <c r="G5" s="164"/>
      <c r="H5" s="89" t="s">
        <v>8</v>
      </c>
      <c r="I5" s="35" t="s">
        <v>9</v>
      </c>
      <c r="J5" s="35" t="s">
        <v>10</v>
      </c>
      <c r="K5" s="35" t="s">
        <v>11</v>
      </c>
      <c r="L5" s="35" t="s">
        <v>12</v>
      </c>
      <c r="M5" s="35" t="s">
        <v>13</v>
      </c>
      <c r="N5" s="35" t="s">
        <v>41</v>
      </c>
      <c r="O5" s="35" t="s">
        <v>15</v>
      </c>
      <c r="P5" s="35" t="s">
        <v>16</v>
      </c>
      <c r="Q5" s="35" t="s">
        <v>42</v>
      </c>
      <c r="R5" s="35" t="s">
        <v>18</v>
      </c>
      <c r="S5" s="35" t="s">
        <v>19</v>
      </c>
      <c r="T5" s="35" t="s">
        <v>20</v>
      </c>
      <c r="U5" s="35" t="s">
        <v>21</v>
      </c>
      <c r="V5" s="35" t="s">
        <v>22</v>
      </c>
      <c r="W5" s="35" t="s">
        <v>23</v>
      </c>
      <c r="X5" s="24" t="s">
        <v>43</v>
      </c>
      <c r="Y5" s="11" t="s">
        <v>44</v>
      </c>
      <c r="Z5" s="11" t="s">
        <v>45</v>
      </c>
      <c r="AA5" s="15" t="s">
        <v>46</v>
      </c>
    </row>
    <row r="6" spans="1:27">
      <c r="A6" s="92" t="s">
        <v>47</v>
      </c>
      <c r="B6" s="125" t="s">
        <v>48</v>
      </c>
      <c r="C6" s="137" t="s">
        <v>49</v>
      </c>
      <c r="D6" s="105" t="s">
        <v>50</v>
      </c>
      <c r="E6" s="104">
        <v>10</v>
      </c>
      <c r="F6" s="104"/>
      <c r="G6" s="104"/>
      <c r="H6" s="103" t="s">
        <v>51</v>
      </c>
      <c r="I6" s="104" t="s">
        <v>33</v>
      </c>
      <c r="J6" s="106" t="s">
        <v>52</v>
      </c>
      <c r="K6" s="23" t="s">
        <v>53</v>
      </c>
      <c r="L6" s="36">
        <v>0.08</v>
      </c>
      <c r="M6" s="36">
        <v>0.08</v>
      </c>
      <c r="N6" s="36">
        <v>0.08</v>
      </c>
      <c r="O6" s="36">
        <v>7.0000000000000007E-2</v>
      </c>
      <c r="P6" s="36">
        <v>7.0000000000000007E-2</v>
      </c>
      <c r="Q6" s="36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8">
        <v>0.05</v>
      </c>
      <c r="X6" s="110"/>
      <c r="Y6" s="101"/>
      <c r="Z6" s="101"/>
      <c r="AA6" s="117" t="s">
        <v>54</v>
      </c>
    </row>
    <row r="7" spans="1:27">
      <c r="A7" s="92"/>
      <c r="B7" s="125"/>
      <c r="C7" s="137"/>
      <c r="D7" s="105"/>
      <c r="E7" s="104"/>
      <c r="F7" s="104"/>
      <c r="G7" s="104"/>
      <c r="H7" s="103"/>
      <c r="I7" s="104"/>
      <c r="J7" s="106"/>
      <c r="K7" s="23" t="s">
        <v>55</v>
      </c>
      <c r="L7" s="17">
        <v>3.7999999999999999E-2</v>
      </c>
      <c r="M7" s="52">
        <v>3.7999999999999999E-2</v>
      </c>
      <c r="N7" s="52">
        <v>2.8000000000000001E-2</v>
      </c>
      <c r="O7" s="52">
        <v>2.5999999999999999E-2</v>
      </c>
      <c r="P7" s="52">
        <v>2.5999999999999999E-2</v>
      </c>
      <c r="Q7" s="52">
        <v>0.03</v>
      </c>
      <c r="R7" s="52">
        <v>3.1E-2</v>
      </c>
      <c r="S7" s="52">
        <v>3.5000000000000003E-2</v>
      </c>
      <c r="T7" s="52">
        <v>3.5000000000000003E-2</v>
      </c>
      <c r="U7" s="52"/>
      <c r="V7" s="52"/>
      <c r="W7" s="52">
        <v>0.06</v>
      </c>
      <c r="X7" s="111"/>
      <c r="Y7" s="131"/>
      <c r="Z7" s="131"/>
      <c r="AA7" s="118"/>
    </row>
    <row r="8" spans="1:27">
      <c r="A8" s="92"/>
      <c r="B8" s="125" t="s">
        <v>56</v>
      </c>
      <c r="C8" s="137" t="s">
        <v>49</v>
      </c>
      <c r="D8" s="105" t="s">
        <v>57</v>
      </c>
      <c r="E8" s="104">
        <v>90</v>
      </c>
      <c r="F8" s="104"/>
      <c r="G8" s="104"/>
      <c r="H8" s="103" t="s">
        <v>32</v>
      </c>
      <c r="I8" s="104" t="s">
        <v>33</v>
      </c>
      <c r="J8" s="106" t="s">
        <v>52</v>
      </c>
      <c r="K8" s="23" t="s">
        <v>53</v>
      </c>
      <c r="L8" s="36">
        <v>0.9</v>
      </c>
      <c r="M8" s="36">
        <v>0.9</v>
      </c>
      <c r="N8" s="36">
        <v>0.9</v>
      </c>
      <c r="O8" s="36">
        <v>0.9</v>
      </c>
      <c r="P8" s="36">
        <v>0.9</v>
      </c>
      <c r="Q8" s="36">
        <v>0.9</v>
      </c>
      <c r="R8" s="36">
        <v>0.9</v>
      </c>
      <c r="S8" s="18"/>
      <c r="T8" s="18"/>
      <c r="U8" s="18"/>
      <c r="V8" s="18"/>
      <c r="W8" s="28"/>
      <c r="X8" s="111"/>
      <c r="Y8" s="130" t="s">
        <v>58</v>
      </c>
      <c r="Z8" s="115">
        <v>46231</v>
      </c>
      <c r="AA8" s="117" t="s">
        <v>59</v>
      </c>
    </row>
    <row r="9" spans="1:27">
      <c r="A9" s="92"/>
      <c r="B9" s="125"/>
      <c r="C9" s="137"/>
      <c r="D9" s="105"/>
      <c r="E9" s="104"/>
      <c r="F9" s="104"/>
      <c r="G9" s="104"/>
      <c r="H9" s="103"/>
      <c r="I9" s="104"/>
      <c r="J9" s="106"/>
      <c r="K9" s="23" t="s">
        <v>55</v>
      </c>
      <c r="L9" s="19">
        <v>1</v>
      </c>
      <c r="M9" s="54">
        <v>0.75</v>
      </c>
      <c r="N9" s="54">
        <v>0.4</v>
      </c>
      <c r="O9" s="77">
        <v>0</v>
      </c>
      <c r="P9" s="54">
        <v>0</v>
      </c>
      <c r="Q9" s="54">
        <v>0</v>
      </c>
      <c r="R9" s="54">
        <v>1</v>
      </c>
      <c r="S9" s="54">
        <v>1</v>
      </c>
      <c r="T9" s="54">
        <v>1</v>
      </c>
      <c r="U9" s="54"/>
      <c r="V9" s="54"/>
      <c r="W9" s="54"/>
      <c r="X9" s="111"/>
      <c r="Y9" s="131"/>
      <c r="Z9" s="116"/>
      <c r="AA9" s="118"/>
    </row>
    <row r="10" spans="1:27">
      <c r="A10" s="92"/>
      <c r="B10" s="125" t="s">
        <v>60</v>
      </c>
      <c r="C10" s="137" t="s">
        <v>49</v>
      </c>
      <c r="D10" s="105" t="s">
        <v>61</v>
      </c>
      <c r="E10" s="104">
        <v>1</v>
      </c>
      <c r="F10" s="104"/>
      <c r="G10" s="104"/>
      <c r="H10" s="103" t="s">
        <v>51</v>
      </c>
      <c r="I10" s="104" t="s">
        <v>62</v>
      </c>
      <c r="J10" s="106" t="s">
        <v>52</v>
      </c>
      <c r="K10" s="23" t="s">
        <v>53</v>
      </c>
      <c r="L10" s="37">
        <v>1</v>
      </c>
      <c r="M10" s="37">
        <v>1</v>
      </c>
      <c r="N10" s="37">
        <v>1</v>
      </c>
      <c r="O10" s="37">
        <v>1</v>
      </c>
      <c r="P10" s="37">
        <v>1</v>
      </c>
      <c r="Q10" s="37">
        <v>1</v>
      </c>
      <c r="R10" s="8">
        <v>1</v>
      </c>
      <c r="S10" s="8">
        <v>1</v>
      </c>
      <c r="T10" s="8"/>
      <c r="U10" s="8"/>
      <c r="V10" s="8"/>
      <c r="W10" s="34"/>
      <c r="X10" s="111"/>
      <c r="Y10" s="119"/>
      <c r="Z10" s="165"/>
      <c r="AA10" s="117" t="s">
        <v>63</v>
      </c>
    </row>
    <row r="11" spans="1:27" ht="15" thickBot="1">
      <c r="A11" s="92"/>
      <c r="B11" s="125"/>
      <c r="C11" s="137"/>
      <c r="D11" s="105"/>
      <c r="E11" s="104"/>
      <c r="F11" s="104"/>
      <c r="G11" s="104"/>
      <c r="H11" s="103"/>
      <c r="I11" s="104"/>
      <c r="J11" s="106"/>
      <c r="K11" s="23" t="s">
        <v>55</v>
      </c>
      <c r="L11" s="9">
        <v>2</v>
      </c>
      <c r="M11" s="55">
        <v>1</v>
      </c>
      <c r="N11" s="9">
        <v>1</v>
      </c>
      <c r="O11" s="9">
        <v>0</v>
      </c>
      <c r="P11" s="9">
        <v>0</v>
      </c>
      <c r="Q11" s="9">
        <v>0</v>
      </c>
      <c r="R11" s="32">
        <v>0</v>
      </c>
      <c r="S11" s="32">
        <v>0</v>
      </c>
      <c r="T11" s="32">
        <v>0</v>
      </c>
      <c r="U11" s="32"/>
      <c r="V11" s="32"/>
      <c r="W11" s="33"/>
      <c r="X11" s="111"/>
      <c r="Y11" s="120"/>
      <c r="Z11" s="166"/>
      <c r="AA11" s="118"/>
    </row>
    <row r="12" spans="1:27">
      <c r="A12" s="92" t="s">
        <v>24</v>
      </c>
      <c r="B12" s="123" t="s">
        <v>64</v>
      </c>
      <c r="C12" s="123" t="s">
        <v>65</v>
      </c>
      <c r="D12" s="105" t="s">
        <v>66</v>
      </c>
      <c r="E12" s="104">
        <v>84</v>
      </c>
      <c r="F12" s="104"/>
      <c r="G12" s="104"/>
      <c r="H12" s="103" t="s">
        <v>32</v>
      </c>
      <c r="I12" s="104" t="s">
        <v>33</v>
      </c>
      <c r="J12" s="106" t="s">
        <v>52</v>
      </c>
      <c r="K12" s="23" t="s">
        <v>53</v>
      </c>
      <c r="L12" s="36">
        <v>0.69</v>
      </c>
      <c r="M12" s="36">
        <v>0.69</v>
      </c>
      <c r="N12" s="36">
        <v>0.69</v>
      </c>
      <c r="O12" s="36">
        <v>0.72</v>
      </c>
      <c r="P12" s="36">
        <v>0.72</v>
      </c>
      <c r="Q12" s="36">
        <v>0.72</v>
      </c>
      <c r="R12" s="25">
        <v>0.74</v>
      </c>
      <c r="S12" s="25">
        <v>0.74</v>
      </c>
      <c r="T12" s="25">
        <v>0.74</v>
      </c>
      <c r="U12" s="25">
        <v>0.79</v>
      </c>
      <c r="V12" s="25">
        <v>0.79</v>
      </c>
      <c r="W12" s="26">
        <v>0.79</v>
      </c>
      <c r="X12" s="129"/>
      <c r="Y12" s="130"/>
      <c r="Z12" s="131"/>
      <c r="AA12" s="117" t="s">
        <v>67</v>
      </c>
    </row>
    <row r="13" spans="1:27">
      <c r="A13" s="92"/>
      <c r="B13" s="123"/>
      <c r="C13" s="123"/>
      <c r="D13" s="105"/>
      <c r="E13" s="104"/>
      <c r="F13" s="104"/>
      <c r="G13" s="104"/>
      <c r="H13" s="103"/>
      <c r="I13" s="104"/>
      <c r="J13" s="106"/>
      <c r="K13" s="23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/>
      <c r="U13" s="19"/>
      <c r="V13" s="19"/>
      <c r="W13" s="29"/>
      <c r="X13" s="129"/>
      <c r="Y13" s="131"/>
      <c r="Z13" s="131"/>
      <c r="AA13" s="118"/>
    </row>
    <row r="14" spans="1:27">
      <c r="A14" s="92"/>
      <c r="B14" s="123" t="s">
        <v>68</v>
      </c>
      <c r="C14" s="124" t="s">
        <v>69</v>
      </c>
      <c r="D14" s="105" t="s">
        <v>70</v>
      </c>
      <c r="E14" s="104">
        <v>54.6</v>
      </c>
      <c r="F14" s="104"/>
      <c r="G14" s="104"/>
      <c r="H14" s="103" t="s">
        <v>32</v>
      </c>
      <c r="I14" s="104" t="s">
        <v>33</v>
      </c>
      <c r="J14" s="106" t="s">
        <v>52</v>
      </c>
      <c r="K14" s="23" t="s">
        <v>53</v>
      </c>
      <c r="L14" s="38">
        <v>0.54249999999999998</v>
      </c>
      <c r="M14" s="38">
        <v>0.54399999999999993</v>
      </c>
      <c r="N14" s="38">
        <v>0.54549999999999987</v>
      </c>
      <c r="O14" s="38">
        <v>0.54699999999999982</v>
      </c>
      <c r="P14" s="38">
        <v>0.54849999999999977</v>
      </c>
      <c r="Q14" s="38">
        <v>0.54999999999999971</v>
      </c>
      <c r="R14" s="38">
        <v>0.55149999999999966</v>
      </c>
      <c r="S14" s="38">
        <v>0.54510000000000003</v>
      </c>
      <c r="T14" s="38"/>
      <c r="U14" s="38"/>
      <c r="V14" s="38"/>
      <c r="W14" s="38"/>
      <c r="X14" s="109" t="s">
        <v>71</v>
      </c>
      <c r="Y14" s="100" t="s">
        <v>72</v>
      </c>
      <c r="Z14" s="100"/>
      <c r="AA14" s="127"/>
    </row>
    <row r="15" spans="1:27" ht="15" thickBot="1">
      <c r="A15" s="92"/>
      <c r="B15" s="123"/>
      <c r="C15" s="124"/>
      <c r="D15" s="105"/>
      <c r="E15" s="104"/>
      <c r="F15" s="104"/>
      <c r="G15" s="104"/>
      <c r="H15" s="103"/>
      <c r="I15" s="104"/>
      <c r="J15" s="106"/>
      <c r="K15" s="23" t="s">
        <v>55</v>
      </c>
      <c r="L15" s="17">
        <v>0.51780000000000004</v>
      </c>
      <c r="M15" s="52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9">
        <v>0.53600000000000003</v>
      </c>
      <c r="S15" s="79">
        <v>0.5363</v>
      </c>
      <c r="T15" s="32"/>
      <c r="U15" s="32"/>
      <c r="V15" s="32"/>
      <c r="W15" s="33"/>
      <c r="X15" s="110"/>
      <c r="Y15" s="101"/>
      <c r="Z15" s="101"/>
      <c r="AA15" s="128"/>
    </row>
    <row r="16" spans="1:27">
      <c r="A16" s="92" t="s">
        <v>25</v>
      </c>
      <c r="B16" s="123" t="s">
        <v>73</v>
      </c>
      <c r="C16" s="123" t="s">
        <v>74</v>
      </c>
      <c r="D16" s="105" t="s">
        <v>75</v>
      </c>
      <c r="E16" s="104" t="s">
        <v>76</v>
      </c>
      <c r="F16" s="104"/>
      <c r="G16" s="104"/>
      <c r="H16" s="103" t="s">
        <v>32</v>
      </c>
      <c r="I16" s="104" t="s">
        <v>33</v>
      </c>
      <c r="J16" s="106" t="s">
        <v>52</v>
      </c>
      <c r="K16" s="23" t="s">
        <v>53</v>
      </c>
      <c r="L16" s="38">
        <v>0.11774014693384624</v>
      </c>
      <c r="M16" s="38">
        <v>7.6823633140503819E-2</v>
      </c>
      <c r="N16" s="38">
        <v>7.3999999999999996E-2</v>
      </c>
      <c r="O16" s="38">
        <v>9.9962463776604421E-2</v>
      </c>
      <c r="P16" s="38">
        <v>0.1038498729590533</v>
      </c>
      <c r="Q16" s="38">
        <v>0.11814554963094943</v>
      </c>
      <c r="R16" s="83">
        <v>0.13344842106998206</v>
      </c>
      <c r="S16" s="83">
        <v>0.13972119594175969</v>
      </c>
      <c r="T16" s="25"/>
      <c r="U16" s="25"/>
      <c r="V16" s="25"/>
      <c r="W16" s="26"/>
      <c r="X16" s="111" t="s">
        <v>77</v>
      </c>
      <c r="Y16" s="130" t="s">
        <v>78</v>
      </c>
      <c r="Z16" s="116"/>
      <c r="AA16" s="117" t="s">
        <v>79</v>
      </c>
    </row>
    <row r="17" spans="1:27">
      <c r="A17" s="92"/>
      <c r="B17" s="123"/>
      <c r="C17" s="123"/>
      <c r="D17" s="105"/>
      <c r="E17" s="104"/>
      <c r="F17" s="104"/>
      <c r="G17" s="104"/>
      <c r="H17" s="103"/>
      <c r="I17" s="104"/>
      <c r="J17" s="106"/>
      <c r="K17" s="23" t="s">
        <v>55</v>
      </c>
      <c r="L17" s="17">
        <v>-4.253311543933095E-2</v>
      </c>
      <c r="M17" s="52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9"/>
      <c r="U17" s="19"/>
      <c r="V17" s="19"/>
      <c r="W17" s="29"/>
      <c r="X17" s="111"/>
      <c r="Y17" s="131"/>
      <c r="Z17" s="116"/>
      <c r="AA17" s="118"/>
    </row>
    <row r="18" spans="1:27">
      <c r="A18" s="92"/>
      <c r="B18" s="123" t="s">
        <v>80</v>
      </c>
      <c r="C18" s="123" t="s">
        <v>74</v>
      </c>
      <c r="D18" s="123" t="s">
        <v>81</v>
      </c>
      <c r="E18" s="104" t="s">
        <v>76</v>
      </c>
      <c r="F18" s="104"/>
      <c r="G18" s="104"/>
      <c r="H18" s="103" t="s">
        <v>32</v>
      </c>
      <c r="I18" s="104" t="s">
        <v>82</v>
      </c>
      <c r="J18" s="106" t="s">
        <v>52</v>
      </c>
      <c r="K18" s="23" t="s">
        <v>53</v>
      </c>
      <c r="L18" s="48">
        <v>0.254</v>
      </c>
      <c r="M18" s="48">
        <v>0.44800000000000001</v>
      </c>
      <c r="N18" s="48">
        <f>0.254+0.194+0.519</f>
        <v>0.96700000000000008</v>
      </c>
      <c r="O18" s="48">
        <v>1.331</v>
      </c>
      <c r="P18" s="48">
        <v>1.595</v>
      </c>
      <c r="Q18" s="48">
        <v>2.1840000000000002</v>
      </c>
      <c r="R18" s="48">
        <v>3.0979999999999999</v>
      </c>
      <c r="S18" s="48">
        <v>3.7</v>
      </c>
      <c r="T18" s="48"/>
      <c r="U18" s="48"/>
      <c r="V18" s="48"/>
      <c r="W18" s="48"/>
      <c r="X18" s="135" t="s">
        <v>83</v>
      </c>
      <c r="Y18" s="135"/>
      <c r="Z18" s="132">
        <v>46108</v>
      </c>
      <c r="AA18" s="134"/>
    </row>
    <row r="19" spans="1:27" ht="18.600000000000001" customHeight="1">
      <c r="A19" s="92"/>
      <c r="B19" s="123"/>
      <c r="C19" s="123"/>
      <c r="D19" s="123"/>
      <c r="E19" s="104"/>
      <c r="F19" s="104"/>
      <c r="G19" s="104"/>
      <c r="H19" s="103"/>
      <c r="I19" s="104"/>
      <c r="J19" s="106"/>
      <c r="K19" s="23" t="s">
        <v>55</v>
      </c>
      <c r="L19" s="49">
        <v>0.28899999999999998</v>
      </c>
      <c r="M19" s="9">
        <v>0.46800000000000003</v>
      </c>
      <c r="N19" s="49">
        <v>1.2749999999999999</v>
      </c>
      <c r="O19" s="49">
        <v>1.5509999999999999</v>
      </c>
      <c r="P19" s="49">
        <v>1.9910000000000001</v>
      </c>
      <c r="Q19" s="49">
        <v>2.5489999999999999</v>
      </c>
      <c r="R19" s="86">
        <v>3.0990000000000002</v>
      </c>
      <c r="S19" s="86">
        <v>3.895</v>
      </c>
      <c r="T19" s="47"/>
      <c r="U19" s="47"/>
      <c r="V19" s="47"/>
      <c r="W19" s="50"/>
      <c r="X19" s="135"/>
      <c r="Y19" s="135"/>
      <c r="Z19" s="133"/>
      <c r="AA19" s="134"/>
    </row>
    <row r="20" spans="1:27" ht="21" customHeight="1">
      <c r="A20" s="92"/>
      <c r="B20" s="123" t="s">
        <v>84</v>
      </c>
      <c r="C20" s="123" t="s">
        <v>65</v>
      </c>
      <c r="D20" s="105" t="s">
        <v>85</v>
      </c>
      <c r="E20" s="104" t="s">
        <v>76</v>
      </c>
      <c r="F20" s="104"/>
      <c r="G20" s="104"/>
      <c r="H20" s="103" t="s">
        <v>51</v>
      </c>
      <c r="I20" s="104" t="s">
        <v>33</v>
      </c>
      <c r="J20" s="106" t="s">
        <v>52</v>
      </c>
      <c r="K20" s="23" t="s">
        <v>53</v>
      </c>
      <c r="L20" s="36">
        <v>0.28399999999999997</v>
      </c>
      <c r="M20" s="36">
        <v>0.28260000000000002</v>
      </c>
      <c r="N20" s="36">
        <v>0.28999999999999998</v>
      </c>
      <c r="O20" s="36">
        <v>0.28999999999999998</v>
      </c>
      <c r="P20" s="36">
        <v>0.27</v>
      </c>
      <c r="Q20" s="36">
        <v>0.26</v>
      </c>
      <c r="R20" s="18">
        <v>0.24</v>
      </c>
      <c r="S20" s="18">
        <v>0.23</v>
      </c>
      <c r="T20" s="18"/>
      <c r="U20" s="18"/>
      <c r="V20" s="18"/>
      <c r="W20" s="28"/>
      <c r="X20" s="167" t="s">
        <v>86</v>
      </c>
      <c r="Y20" s="169" t="s">
        <v>87</v>
      </c>
      <c r="Z20" s="95"/>
      <c r="AA20" s="153" t="s">
        <v>88</v>
      </c>
    </row>
    <row r="21" spans="1:27" ht="16.5" customHeight="1" thickBot="1">
      <c r="A21" s="92"/>
      <c r="B21" s="123"/>
      <c r="C21" s="123"/>
      <c r="D21" s="105"/>
      <c r="E21" s="104"/>
      <c r="F21" s="104"/>
      <c r="G21" s="104"/>
      <c r="H21" s="103"/>
      <c r="I21" s="104"/>
      <c r="J21" s="106"/>
      <c r="K21" s="23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30">
        <v>0.3</v>
      </c>
      <c r="S21" s="30">
        <v>0.3</v>
      </c>
      <c r="T21" s="30"/>
      <c r="U21" s="30"/>
      <c r="V21" s="30"/>
      <c r="W21" s="31"/>
      <c r="X21" s="168"/>
      <c r="Y21" s="170"/>
      <c r="Z21" s="94"/>
      <c r="AA21" s="153"/>
    </row>
    <row r="22" spans="1:27" ht="15.95" customHeight="1">
      <c r="A22" s="92" t="s">
        <v>26</v>
      </c>
      <c r="B22" s="123" t="s">
        <v>89</v>
      </c>
      <c r="C22" s="124" t="s">
        <v>90</v>
      </c>
      <c r="D22" s="123" t="s">
        <v>91</v>
      </c>
      <c r="E22" s="104">
        <v>90</v>
      </c>
      <c r="F22" s="104"/>
      <c r="G22" s="104"/>
      <c r="H22" s="103" t="s">
        <v>32</v>
      </c>
      <c r="I22" s="104" t="s">
        <v>33</v>
      </c>
      <c r="J22" s="106" t="s">
        <v>52</v>
      </c>
      <c r="K22" s="23" t="s">
        <v>53</v>
      </c>
      <c r="L22" s="36">
        <v>0.9</v>
      </c>
      <c r="M22" s="36">
        <v>0.9</v>
      </c>
      <c r="N22" s="36">
        <v>0.9</v>
      </c>
      <c r="O22" s="36">
        <v>0.9</v>
      </c>
      <c r="P22" s="36">
        <v>0.9</v>
      </c>
      <c r="Q22" s="36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8">
        <v>0.9</v>
      </c>
      <c r="X22" s="171"/>
      <c r="Y22" s="130"/>
      <c r="Z22" s="115">
        <v>46257</v>
      </c>
      <c r="AA22" s="113"/>
    </row>
    <row r="23" spans="1:27" ht="17.100000000000001" customHeight="1" thickBot="1">
      <c r="A23" s="93"/>
      <c r="B23" s="123"/>
      <c r="C23" s="124"/>
      <c r="D23" s="123"/>
      <c r="E23" s="104"/>
      <c r="F23" s="104"/>
      <c r="G23" s="104"/>
      <c r="H23" s="103"/>
      <c r="I23" s="104"/>
      <c r="J23" s="106"/>
      <c r="K23" s="23" t="s">
        <v>55</v>
      </c>
      <c r="L23" s="56">
        <v>0.81</v>
      </c>
      <c r="M23" s="56">
        <v>0.78</v>
      </c>
      <c r="N23" s="19">
        <v>0.8</v>
      </c>
      <c r="O23" s="19">
        <v>0.82</v>
      </c>
      <c r="P23" s="19">
        <v>0.79500000000000004</v>
      </c>
      <c r="Q23" s="19">
        <v>0.86</v>
      </c>
      <c r="R23" s="30">
        <v>0.88</v>
      </c>
      <c r="S23" s="30">
        <v>0.94</v>
      </c>
      <c r="T23" s="30"/>
      <c r="U23" s="30"/>
      <c r="V23" s="30"/>
      <c r="W23" s="31"/>
      <c r="X23" s="110"/>
      <c r="Y23" s="131"/>
      <c r="Z23" s="116"/>
      <c r="AA23" s="114"/>
    </row>
    <row r="24" spans="1:27" ht="17.45" customHeight="1">
      <c r="A24" s="90" t="s">
        <v>27</v>
      </c>
      <c r="B24" s="123" t="s">
        <v>92</v>
      </c>
      <c r="C24" s="124" t="s">
        <v>93</v>
      </c>
      <c r="D24" s="105" t="s">
        <v>94</v>
      </c>
      <c r="E24" s="104" t="s">
        <v>95</v>
      </c>
      <c r="F24" s="104" t="s">
        <v>95</v>
      </c>
      <c r="G24" s="104" t="s">
        <v>95</v>
      </c>
      <c r="H24" s="103" t="s">
        <v>32</v>
      </c>
      <c r="I24" s="104" t="s">
        <v>33</v>
      </c>
      <c r="J24" s="102" t="s">
        <v>34</v>
      </c>
      <c r="K24" s="23" t="s">
        <v>53</v>
      </c>
      <c r="L24" s="36"/>
      <c r="M24" s="36"/>
      <c r="N24" s="38">
        <v>0.104</v>
      </c>
      <c r="O24" s="22" t="s">
        <v>96</v>
      </c>
      <c r="P24" s="22" t="s">
        <v>96</v>
      </c>
      <c r="Q24" s="38">
        <v>0.11799999999999999</v>
      </c>
      <c r="R24" s="22" t="s">
        <v>96</v>
      </c>
      <c r="S24" s="22" t="s">
        <v>96</v>
      </c>
      <c r="T24" s="36"/>
      <c r="U24" s="22" t="s">
        <v>96</v>
      </c>
      <c r="V24" s="22" t="s">
        <v>96</v>
      </c>
      <c r="W24" s="39"/>
      <c r="X24" s="109"/>
      <c r="Y24" s="100"/>
      <c r="Z24" s="94"/>
      <c r="AA24" s="117" t="s">
        <v>97</v>
      </c>
    </row>
    <row r="25" spans="1:27" ht="15" thickBot="1">
      <c r="A25" s="91"/>
      <c r="B25" s="123"/>
      <c r="C25" s="124"/>
      <c r="D25" s="105"/>
      <c r="E25" s="104"/>
      <c r="F25" s="104"/>
      <c r="G25" s="104"/>
      <c r="H25" s="103"/>
      <c r="I25" s="104"/>
      <c r="J25" s="102"/>
      <c r="K25" s="23" t="s">
        <v>55</v>
      </c>
      <c r="L25" s="22" t="s">
        <v>96</v>
      </c>
      <c r="M25" s="22" t="s">
        <v>96</v>
      </c>
      <c r="N25" s="52">
        <v>0.115</v>
      </c>
      <c r="O25" s="22" t="s">
        <v>96</v>
      </c>
      <c r="P25" s="22" t="s">
        <v>96</v>
      </c>
      <c r="Q25" s="17">
        <v>0.121</v>
      </c>
      <c r="R25" s="22" t="s">
        <v>96</v>
      </c>
      <c r="S25" s="22" t="s">
        <v>96</v>
      </c>
      <c r="T25" s="57"/>
      <c r="U25" s="22" t="s">
        <v>96</v>
      </c>
      <c r="V25" s="22" t="s">
        <v>96</v>
      </c>
      <c r="W25" s="57"/>
      <c r="X25" s="110"/>
      <c r="Y25" s="101"/>
      <c r="Z25" s="95"/>
      <c r="AA25" s="118"/>
    </row>
    <row r="26" spans="1:27" ht="14.45" customHeight="1">
      <c r="A26" s="91"/>
      <c r="B26" s="125" t="s">
        <v>98</v>
      </c>
      <c r="C26" s="126" t="s">
        <v>93</v>
      </c>
      <c r="D26" s="105" t="s">
        <v>99</v>
      </c>
      <c r="E26" s="104">
        <v>34</v>
      </c>
      <c r="F26" s="112"/>
      <c r="G26" s="112"/>
      <c r="H26" s="103" t="s">
        <v>32</v>
      </c>
      <c r="I26" s="104" t="s">
        <v>33</v>
      </c>
      <c r="J26" s="106" t="s">
        <v>52</v>
      </c>
      <c r="K26" s="23" t="s">
        <v>53</v>
      </c>
      <c r="L26" s="36">
        <v>0.34</v>
      </c>
      <c r="M26" s="36">
        <v>0.34</v>
      </c>
      <c r="N26" s="36">
        <v>0.34</v>
      </c>
      <c r="O26" s="36">
        <v>0.34</v>
      </c>
      <c r="P26" s="36">
        <v>0.34</v>
      </c>
      <c r="Q26" s="36">
        <v>0.34</v>
      </c>
      <c r="R26" s="36">
        <v>0.34</v>
      </c>
      <c r="S26" s="25">
        <v>0.34</v>
      </c>
      <c r="T26" s="25"/>
      <c r="U26" s="25"/>
      <c r="V26" s="25"/>
      <c r="W26" s="26"/>
      <c r="X26" s="111"/>
      <c r="Y26" s="131"/>
      <c r="Z26" s="116"/>
      <c r="AA26" s="117" t="s">
        <v>100</v>
      </c>
    </row>
    <row r="27" spans="1:27" ht="14.45" customHeight="1" thickBot="1">
      <c r="A27" s="91"/>
      <c r="B27" s="125"/>
      <c r="C27" s="126"/>
      <c r="D27" s="105"/>
      <c r="E27" s="104"/>
      <c r="F27" s="112"/>
      <c r="G27" s="112"/>
      <c r="H27" s="103"/>
      <c r="I27" s="104"/>
      <c r="J27" s="106"/>
      <c r="K27" s="23" t="s">
        <v>55</v>
      </c>
      <c r="L27" s="80">
        <v>0.318</v>
      </c>
      <c r="M27" s="52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9">
        <v>0.35</v>
      </c>
      <c r="T27" s="19"/>
      <c r="U27" s="19"/>
      <c r="V27" s="19"/>
      <c r="W27" s="29"/>
      <c r="X27" s="111"/>
      <c r="Y27" s="131"/>
      <c r="Z27" s="116"/>
      <c r="AA27" s="118"/>
    </row>
    <row r="28" spans="1:27" ht="14.45" customHeight="1">
      <c r="A28" s="91"/>
      <c r="B28" s="105" t="s">
        <v>101</v>
      </c>
      <c r="C28" s="123" t="s">
        <v>74</v>
      </c>
      <c r="D28" s="105" t="s">
        <v>102</v>
      </c>
      <c r="E28" s="104" t="s">
        <v>76</v>
      </c>
      <c r="F28" s="104"/>
      <c r="G28" s="104"/>
      <c r="H28" s="103" t="s">
        <v>32</v>
      </c>
      <c r="I28" s="104" t="s">
        <v>33</v>
      </c>
      <c r="J28" s="106" t="s">
        <v>52</v>
      </c>
      <c r="K28" s="23" t="s">
        <v>53</v>
      </c>
      <c r="L28" s="38" vm="1">
        <v>3.6951550944796852E-2</v>
      </c>
      <c r="M28" s="38" vm="3">
        <v>0.43621586155644376</v>
      </c>
      <c r="N28" s="38" vm="6">
        <v>6.9838696752701823E-2</v>
      </c>
      <c r="O28" s="38" vm="10">
        <v>0.21843539773619547</v>
      </c>
      <c r="P28" s="38" vm="12">
        <v>0.20239261325941293</v>
      </c>
      <c r="Q28" s="38" vm="14">
        <v>0.29754592225545773</v>
      </c>
      <c r="R28" s="83" vm="18">
        <v>0.26300517799117751</v>
      </c>
      <c r="S28" s="83" vm="22">
        <v>0.30756202137510114</v>
      </c>
      <c r="T28" s="25"/>
      <c r="U28" s="25"/>
      <c r="V28" s="25"/>
      <c r="W28" s="26"/>
      <c r="X28" s="159" t="s">
        <v>103</v>
      </c>
      <c r="Y28" s="96"/>
      <c r="Z28" s="94"/>
      <c r="AA28" s="154" t="s">
        <v>104</v>
      </c>
    </row>
    <row r="29" spans="1:27" ht="15" thickBot="1">
      <c r="A29" s="91"/>
      <c r="B29" s="105"/>
      <c r="C29" s="123"/>
      <c r="D29" s="105"/>
      <c r="E29" s="104"/>
      <c r="F29" s="104"/>
      <c r="G29" s="104"/>
      <c r="H29" s="103"/>
      <c r="I29" s="104"/>
      <c r="J29" s="106"/>
      <c r="K29" s="23" t="s">
        <v>55</v>
      </c>
      <c r="L29" s="17" vm="2">
        <v>-0.21537837470975407</v>
      </c>
      <c r="M29" s="51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9"/>
      <c r="U29" s="19"/>
      <c r="V29" s="19"/>
      <c r="W29" s="29"/>
      <c r="X29" s="160"/>
      <c r="Y29" s="97"/>
      <c r="Z29" s="95"/>
      <c r="AA29" s="155"/>
    </row>
    <row r="30" spans="1:27" ht="14.45" customHeight="1">
      <c r="A30" s="91"/>
      <c r="B30" s="105"/>
      <c r="C30" s="123" t="s">
        <v>74</v>
      </c>
      <c r="D30" s="105" t="s">
        <v>105</v>
      </c>
      <c r="E30" s="104" t="s">
        <v>76</v>
      </c>
      <c r="F30" s="104"/>
      <c r="G30" s="104"/>
      <c r="H30" s="103" t="s">
        <v>32</v>
      </c>
      <c r="I30" s="104" t="s">
        <v>33</v>
      </c>
      <c r="J30" s="106" t="s">
        <v>52</v>
      </c>
      <c r="K30" s="23" t="s">
        <v>53</v>
      </c>
      <c r="L30" s="38">
        <v>0.35899999999999999</v>
      </c>
      <c r="M30" s="38" vm="4">
        <v>9.8925321866648819E-2</v>
      </c>
      <c r="N30" s="38" vm="8">
        <v>0.11712228373869382</v>
      </c>
      <c r="O30" s="38">
        <v>0.15809999999999999</v>
      </c>
      <c r="P30" s="38">
        <v>0.151</v>
      </c>
      <c r="Q30" s="38" vm="16">
        <v>0.12551463489599346</v>
      </c>
      <c r="R30" s="83" vm="20">
        <v>0.10280225768958351</v>
      </c>
      <c r="S30" s="83">
        <v>0.13500000000000001</v>
      </c>
      <c r="T30" s="25"/>
      <c r="U30" s="25"/>
      <c r="V30" s="25"/>
      <c r="W30" s="26"/>
      <c r="X30" s="159"/>
      <c r="Y30" s="100"/>
      <c r="Z30" s="94"/>
      <c r="AA30" s="107"/>
    </row>
    <row r="31" spans="1:27">
      <c r="A31" s="91"/>
      <c r="B31" s="105"/>
      <c r="C31" s="123"/>
      <c r="D31" s="105"/>
      <c r="E31" s="104"/>
      <c r="F31" s="104"/>
      <c r="G31" s="104"/>
      <c r="H31" s="103"/>
      <c r="I31" s="104"/>
      <c r="J31" s="106"/>
      <c r="K31" s="23" t="s">
        <v>55</v>
      </c>
      <c r="L31" s="17">
        <v>0.32500000000000001</v>
      </c>
      <c r="M31" s="52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4" vm="21">
        <v>0.10382365349216505</v>
      </c>
      <c r="S31" s="84">
        <v>0.151</v>
      </c>
      <c r="T31" s="45"/>
      <c r="U31" s="45"/>
      <c r="V31" s="45"/>
      <c r="W31" s="46"/>
      <c r="X31" s="160"/>
      <c r="Y31" s="101"/>
      <c r="Z31" s="95"/>
      <c r="AA31" s="108"/>
    </row>
    <row r="32" spans="1:27" ht="14.45" customHeight="1">
      <c r="A32" s="91"/>
      <c r="B32" s="123" t="s">
        <v>106</v>
      </c>
      <c r="C32" s="124" t="s">
        <v>65</v>
      </c>
      <c r="D32" s="105" t="s">
        <v>107</v>
      </c>
      <c r="E32" s="104" t="s">
        <v>76</v>
      </c>
      <c r="F32" s="104"/>
      <c r="G32" s="104"/>
      <c r="H32" s="103" t="s">
        <v>32</v>
      </c>
      <c r="I32" s="104" t="s">
        <v>82</v>
      </c>
      <c r="J32" s="106" t="s">
        <v>52</v>
      </c>
      <c r="K32" s="23" t="s">
        <v>53</v>
      </c>
      <c r="L32" s="42">
        <v>8.6903037999999988</v>
      </c>
      <c r="M32" s="42">
        <v>14.05</v>
      </c>
      <c r="N32" s="42">
        <v>24.179069699999999</v>
      </c>
      <c r="O32" s="66">
        <v>33.551317699999998</v>
      </c>
      <c r="P32" s="42">
        <v>41.442849800000005</v>
      </c>
      <c r="Q32" s="81">
        <v>60.823965100000009</v>
      </c>
      <c r="R32" s="8">
        <v>72.599999999999994</v>
      </c>
      <c r="S32" s="87">
        <v>82.449704499999996</v>
      </c>
      <c r="T32" s="8"/>
      <c r="U32" s="8"/>
      <c r="V32" s="8"/>
      <c r="W32" s="34"/>
      <c r="X32" s="98" t="s">
        <v>108</v>
      </c>
      <c r="Y32" s="96" t="s">
        <v>109</v>
      </c>
      <c r="Z32" s="94"/>
      <c r="AA32" s="117" t="s">
        <v>110</v>
      </c>
    </row>
    <row r="33" spans="1:29" ht="15.6" customHeight="1" thickBot="1">
      <c r="A33" s="91"/>
      <c r="B33" s="123"/>
      <c r="C33" s="124"/>
      <c r="D33" s="105"/>
      <c r="E33" s="104"/>
      <c r="F33" s="104"/>
      <c r="G33" s="104"/>
      <c r="H33" s="103"/>
      <c r="I33" s="104"/>
      <c r="J33" s="106"/>
      <c r="K33" s="23" t="s">
        <v>55</v>
      </c>
      <c r="L33" s="43">
        <v>4.05</v>
      </c>
      <c r="M33" s="53">
        <v>9.7989724000000002</v>
      </c>
      <c r="N33" s="43">
        <v>25.313448100000002</v>
      </c>
      <c r="O33" s="67">
        <v>31.452557499999998</v>
      </c>
      <c r="P33" s="43">
        <v>41.128122899999994</v>
      </c>
      <c r="Q33" s="82">
        <v>55.164574999999999</v>
      </c>
      <c r="R33" s="85">
        <v>61.940289700000001</v>
      </c>
      <c r="S33" s="85">
        <v>72.779408199999978</v>
      </c>
      <c r="T33" s="32"/>
      <c r="U33" s="32"/>
      <c r="V33" s="32"/>
      <c r="W33" s="33"/>
      <c r="X33" s="99"/>
      <c r="Y33" s="97"/>
      <c r="Z33" s="95"/>
      <c r="AA33" s="118"/>
    </row>
    <row r="34" spans="1:29">
      <c r="A34" s="92" t="s">
        <v>28</v>
      </c>
      <c r="B34" s="144" t="s">
        <v>29</v>
      </c>
      <c r="C34" s="123" t="s">
        <v>90</v>
      </c>
      <c r="D34" s="105" t="s">
        <v>31</v>
      </c>
      <c r="E34" s="104">
        <v>90</v>
      </c>
      <c r="F34" s="104"/>
      <c r="G34" s="104"/>
      <c r="H34" s="103" t="s">
        <v>32</v>
      </c>
      <c r="I34" s="104" t="s">
        <v>33</v>
      </c>
      <c r="J34" s="102" t="s">
        <v>34</v>
      </c>
      <c r="K34" s="23" t="s">
        <v>53</v>
      </c>
      <c r="L34" s="36"/>
      <c r="M34" s="36"/>
      <c r="N34" s="36">
        <v>0.9</v>
      </c>
      <c r="O34" s="36"/>
      <c r="P34" s="36"/>
      <c r="Q34" s="36">
        <v>0.9</v>
      </c>
      <c r="R34" s="25"/>
      <c r="S34" s="25"/>
      <c r="T34" s="25">
        <v>0.9</v>
      </c>
      <c r="U34" s="25"/>
      <c r="V34" s="25"/>
      <c r="W34" s="26">
        <v>0.9</v>
      </c>
      <c r="X34" s="111"/>
      <c r="Y34" s="131"/>
      <c r="Z34" s="116"/>
      <c r="AA34" s="117" t="s">
        <v>111</v>
      </c>
    </row>
    <row r="35" spans="1:29">
      <c r="A35" s="92"/>
      <c r="B35" s="144"/>
      <c r="C35" s="123"/>
      <c r="D35" s="105"/>
      <c r="E35" s="104"/>
      <c r="F35" s="104"/>
      <c r="G35" s="104"/>
      <c r="H35" s="103"/>
      <c r="I35" s="104"/>
      <c r="J35" s="102"/>
      <c r="K35" s="23" t="s">
        <v>55</v>
      </c>
      <c r="L35" s="22" t="s">
        <v>96</v>
      </c>
      <c r="M35" s="22" t="s">
        <v>96</v>
      </c>
      <c r="N35" s="19">
        <v>1</v>
      </c>
      <c r="O35" s="22" t="s">
        <v>96</v>
      </c>
      <c r="P35" s="22" t="s">
        <v>96</v>
      </c>
      <c r="Q35" s="19">
        <v>0.96199999999999997</v>
      </c>
      <c r="R35" s="22" t="s">
        <v>96</v>
      </c>
      <c r="S35" s="22" t="s">
        <v>96</v>
      </c>
      <c r="T35" s="19"/>
      <c r="U35" s="19"/>
      <c r="V35" s="19"/>
      <c r="W35" s="29"/>
      <c r="X35" s="111"/>
      <c r="Y35" s="131"/>
      <c r="Z35" s="116"/>
      <c r="AA35" s="118"/>
    </row>
    <row r="36" spans="1:29">
      <c r="A36" s="92"/>
      <c r="B36" s="144" t="s">
        <v>35</v>
      </c>
      <c r="C36" s="123" t="s">
        <v>112</v>
      </c>
      <c r="D36" s="105" t="s">
        <v>37</v>
      </c>
      <c r="E36" s="104">
        <v>83</v>
      </c>
      <c r="F36" s="104"/>
      <c r="G36" s="104"/>
      <c r="H36" s="103" t="s">
        <v>32</v>
      </c>
      <c r="I36" s="104" t="s">
        <v>33</v>
      </c>
      <c r="J36" s="161" t="s">
        <v>38</v>
      </c>
      <c r="K36" s="23" t="s">
        <v>53</v>
      </c>
      <c r="L36" s="36"/>
      <c r="M36" s="36"/>
      <c r="N36" s="36"/>
      <c r="O36" s="36">
        <v>0.83</v>
      </c>
      <c r="P36" s="36"/>
      <c r="Q36" s="36">
        <v>0.83</v>
      </c>
      <c r="R36" s="18"/>
      <c r="S36" s="18"/>
      <c r="T36" s="18"/>
      <c r="U36" s="18"/>
      <c r="V36" s="18"/>
      <c r="W36" s="28"/>
      <c r="X36" s="111" t="s">
        <v>113</v>
      </c>
      <c r="Y36" s="130" t="s">
        <v>114</v>
      </c>
      <c r="Z36" s="116"/>
      <c r="AA36" s="117" t="s">
        <v>115</v>
      </c>
    </row>
    <row r="37" spans="1:29">
      <c r="A37" s="92"/>
      <c r="B37" s="144"/>
      <c r="C37" s="123"/>
      <c r="D37" s="105"/>
      <c r="E37" s="104"/>
      <c r="F37" s="104"/>
      <c r="G37" s="104"/>
      <c r="H37" s="103"/>
      <c r="I37" s="104"/>
      <c r="J37" s="161"/>
      <c r="K37" s="23" t="s">
        <v>55</v>
      </c>
      <c r="L37" s="22" t="s">
        <v>116</v>
      </c>
      <c r="M37" s="22" t="s">
        <v>116</v>
      </c>
      <c r="N37" s="22" t="s">
        <v>116</v>
      </c>
      <c r="O37" s="19">
        <v>0.79</v>
      </c>
      <c r="P37" s="22" t="s">
        <v>116</v>
      </c>
      <c r="Q37" s="19">
        <v>0.79</v>
      </c>
      <c r="R37" s="22" t="s">
        <v>116</v>
      </c>
      <c r="S37" s="58"/>
      <c r="T37" s="58"/>
      <c r="U37" s="58"/>
      <c r="V37" s="58"/>
      <c r="W37" s="59"/>
      <c r="X37" s="109"/>
      <c r="Y37" s="96"/>
      <c r="Z37" s="94"/>
      <c r="AA37" s="153"/>
    </row>
    <row r="38" spans="1:29" s="5" customFormat="1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8"/>
      <c r="Q38" s="148"/>
      <c r="R38" s="148"/>
      <c r="S38" s="148"/>
      <c r="T38" s="148"/>
      <c r="U38" s="148"/>
      <c r="V38" s="148"/>
      <c r="W38" s="148"/>
      <c r="X38" s="148"/>
      <c r="Y38" s="148"/>
      <c r="Z38" s="148"/>
      <c r="AA38" s="148"/>
    </row>
    <row r="39" spans="1:29" s="5" customFormat="1" ht="23.45">
      <c r="A39" s="149" t="s">
        <v>117</v>
      </c>
      <c r="B39" s="149"/>
      <c r="C39" s="60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7.6" customHeight="1">
      <c r="A40" s="44" t="s">
        <v>0</v>
      </c>
      <c r="B40" s="10" t="s">
        <v>118</v>
      </c>
      <c r="C40" s="10" t="s">
        <v>3</v>
      </c>
      <c r="D40" s="10" t="s">
        <v>4</v>
      </c>
      <c r="E40" s="10" t="s">
        <v>119</v>
      </c>
      <c r="F40" s="10" t="s">
        <v>120</v>
      </c>
      <c r="G40" s="10" t="s">
        <v>121</v>
      </c>
      <c r="H40" s="10" t="s">
        <v>8</v>
      </c>
      <c r="I40" s="10" t="s">
        <v>9</v>
      </c>
      <c r="J40" s="10" t="s">
        <v>10</v>
      </c>
      <c r="K40" s="35" t="s">
        <v>11</v>
      </c>
      <c r="L40" s="10" t="s">
        <v>12</v>
      </c>
      <c r="M40" s="10" t="s">
        <v>13</v>
      </c>
      <c r="N40" s="10" t="s">
        <v>122</v>
      </c>
      <c r="O40" s="10" t="s">
        <v>15</v>
      </c>
      <c r="P40" s="10" t="s">
        <v>16</v>
      </c>
      <c r="Q40" s="10" t="s">
        <v>123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2" t="s">
        <v>43</v>
      </c>
      <c r="Y40" s="10" t="s">
        <v>44</v>
      </c>
      <c r="Z40" s="10" t="s">
        <v>45</v>
      </c>
      <c r="AA40" s="16" t="s">
        <v>46</v>
      </c>
    </row>
    <row r="41" spans="1:29">
      <c r="A41" s="150" t="s">
        <v>47</v>
      </c>
      <c r="B41" s="151" t="s">
        <v>124</v>
      </c>
      <c r="C41" s="152" t="s">
        <v>49</v>
      </c>
      <c r="D41" s="143" t="s">
        <v>125</v>
      </c>
      <c r="E41" s="121" t="s">
        <v>95</v>
      </c>
      <c r="F41" s="121" t="s">
        <v>95</v>
      </c>
      <c r="G41" s="121" t="s">
        <v>95</v>
      </c>
      <c r="H41" s="122" t="s">
        <v>51</v>
      </c>
      <c r="I41" s="121" t="s">
        <v>33</v>
      </c>
      <c r="J41" s="138" t="s">
        <v>52</v>
      </c>
      <c r="K41" s="63" t="s">
        <v>53</v>
      </c>
      <c r="L41" s="78">
        <v>1.9099999999999999E-2</v>
      </c>
      <c r="M41" s="78">
        <v>4.07E-2</v>
      </c>
      <c r="N41" s="78">
        <v>4.6199999999999998E-2</v>
      </c>
      <c r="O41" s="78">
        <v>3.8600000000000002E-2</v>
      </c>
      <c r="P41" s="78">
        <v>3.5299999999999998E-2</v>
      </c>
      <c r="Q41" s="64">
        <v>2.7099999999999999E-2</v>
      </c>
      <c r="R41" s="64">
        <v>2.5100000000000001E-2</v>
      </c>
      <c r="S41" s="64">
        <v>2.41E-2</v>
      </c>
      <c r="T41" s="64">
        <v>3.1600000000000003E-2</v>
      </c>
      <c r="U41" s="64">
        <v>3.1099999999999999E-2</v>
      </c>
      <c r="V41" s="64">
        <v>3.5700000000000003E-2</v>
      </c>
      <c r="W41" s="65">
        <v>3.32E-2</v>
      </c>
      <c r="X41" s="158"/>
      <c r="Y41" s="128"/>
      <c r="Z41" s="128"/>
      <c r="AA41" s="118" t="s">
        <v>124</v>
      </c>
      <c r="AC41" s="12"/>
    </row>
    <row r="42" spans="1:29" ht="23.1" customHeight="1">
      <c r="A42" s="90"/>
      <c r="B42" s="125"/>
      <c r="C42" s="137"/>
      <c r="D42" s="105"/>
      <c r="E42" s="104"/>
      <c r="F42" s="104"/>
      <c r="G42" s="104"/>
      <c r="H42" s="103"/>
      <c r="I42" s="104"/>
      <c r="J42" s="139"/>
      <c r="K42" s="23" t="s">
        <v>55</v>
      </c>
      <c r="L42" s="57">
        <v>9.1999999999999998E-3</v>
      </c>
      <c r="M42" s="57">
        <v>1.5800000000000002E-2</v>
      </c>
      <c r="N42" s="57">
        <v>1.7600000000000001E-2</v>
      </c>
      <c r="O42" s="57">
        <v>1.5800000000000002E-2</v>
      </c>
      <c r="P42" s="57">
        <v>8.6E-3</v>
      </c>
      <c r="Q42" s="57">
        <v>1.2699999999999999E-2</v>
      </c>
      <c r="R42" s="57">
        <v>1.3299999999999999E-2</v>
      </c>
      <c r="S42" s="57">
        <v>1.3899999999999999E-2</v>
      </c>
      <c r="T42" s="57"/>
      <c r="U42" s="57"/>
      <c r="V42" s="57"/>
      <c r="W42" s="61"/>
      <c r="X42" s="158"/>
      <c r="Y42" s="128"/>
      <c r="Z42" s="128"/>
      <c r="AA42" s="145"/>
    </row>
    <row r="43" spans="1:29">
      <c r="A43" s="136" t="s">
        <v>26</v>
      </c>
      <c r="B43" s="125" t="s">
        <v>126</v>
      </c>
      <c r="C43" s="137" t="s">
        <v>93</v>
      </c>
      <c r="D43" s="105" t="s">
        <v>127</v>
      </c>
      <c r="E43" s="104" t="s">
        <v>95</v>
      </c>
      <c r="F43" s="104" t="s">
        <v>95</v>
      </c>
      <c r="G43" s="104" t="s">
        <v>95</v>
      </c>
      <c r="H43" s="103" t="s">
        <v>32</v>
      </c>
      <c r="I43" s="104" t="s">
        <v>33</v>
      </c>
      <c r="J43" s="102" t="s">
        <v>34</v>
      </c>
      <c r="K43" s="23" t="s">
        <v>53</v>
      </c>
      <c r="L43" s="36"/>
      <c r="M43" s="36"/>
      <c r="N43" s="38">
        <v>0.05</v>
      </c>
      <c r="O43" s="36"/>
      <c r="P43" s="36"/>
      <c r="Q43" s="38">
        <v>5.5E-2</v>
      </c>
      <c r="R43" s="36"/>
      <c r="S43" s="36"/>
      <c r="T43" s="36"/>
      <c r="U43" s="36"/>
      <c r="V43" s="36"/>
      <c r="W43" s="39"/>
      <c r="X43" s="146" t="s">
        <v>128</v>
      </c>
      <c r="Y43" s="141" t="s">
        <v>129</v>
      </c>
      <c r="Z43" s="140"/>
      <c r="AA43" s="156" t="s">
        <v>130</v>
      </c>
    </row>
    <row r="44" spans="1:29">
      <c r="A44" s="136"/>
      <c r="B44" s="125"/>
      <c r="C44" s="137"/>
      <c r="D44" s="105"/>
      <c r="E44" s="104"/>
      <c r="F44" s="104"/>
      <c r="G44" s="104"/>
      <c r="H44" s="103"/>
      <c r="I44" s="112"/>
      <c r="J44" s="102"/>
      <c r="K44" s="23" t="s">
        <v>55</v>
      </c>
      <c r="L44" s="22" t="s">
        <v>96</v>
      </c>
      <c r="M44" s="22" t="s">
        <v>96</v>
      </c>
      <c r="N44" s="17">
        <v>4.2000000000000003E-2</v>
      </c>
      <c r="O44" s="22" t="s">
        <v>96</v>
      </c>
      <c r="P44" s="22" t="s">
        <v>96</v>
      </c>
      <c r="Q44" s="17">
        <v>0.04</v>
      </c>
      <c r="R44" s="22" t="s">
        <v>96</v>
      </c>
      <c r="S44" s="22" t="s">
        <v>96</v>
      </c>
      <c r="T44" s="57"/>
      <c r="U44" s="22" t="s">
        <v>96</v>
      </c>
      <c r="V44" s="22" t="s">
        <v>96</v>
      </c>
      <c r="W44" s="57"/>
      <c r="X44" s="146"/>
      <c r="Y44" s="141"/>
      <c r="Z44" s="140"/>
      <c r="AA44" s="156"/>
    </row>
    <row r="45" spans="1:29">
      <c r="A45" s="136"/>
      <c r="B45" s="125" t="s">
        <v>131</v>
      </c>
      <c r="C45" s="137" t="s">
        <v>93</v>
      </c>
      <c r="D45" s="105" t="s">
        <v>132</v>
      </c>
      <c r="E45" s="104" t="s">
        <v>95</v>
      </c>
      <c r="F45" s="104" t="s">
        <v>95</v>
      </c>
      <c r="G45" s="104" t="s">
        <v>95</v>
      </c>
      <c r="H45" s="103" t="s">
        <v>32</v>
      </c>
      <c r="I45" s="104" t="s">
        <v>33</v>
      </c>
      <c r="J45" s="139" t="s">
        <v>52</v>
      </c>
      <c r="K45" s="23" t="s">
        <v>53</v>
      </c>
      <c r="L45" s="36">
        <v>0.4</v>
      </c>
      <c r="M45" s="36">
        <v>0.4</v>
      </c>
      <c r="N45" s="36">
        <v>0.4</v>
      </c>
      <c r="O45" s="36">
        <v>0.4</v>
      </c>
      <c r="P45" s="36">
        <v>0.4</v>
      </c>
      <c r="Q45" s="36">
        <v>0.4</v>
      </c>
      <c r="R45" s="36">
        <v>0.4</v>
      </c>
      <c r="S45" s="36"/>
      <c r="T45" s="36"/>
      <c r="U45" s="36"/>
      <c r="V45" s="36"/>
      <c r="W45" s="39"/>
      <c r="X45" s="146"/>
      <c r="Y45" s="141" t="s">
        <v>133</v>
      </c>
      <c r="Z45" s="157">
        <v>46188</v>
      </c>
      <c r="AA45" s="145" t="s">
        <v>131</v>
      </c>
    </row>
    <row r="46" spans="1:29" ht="16.5" customHeight="1">
      <c r="A46" s="136"/>
      <c r="B46" s="125"/>
      <c r="C46" s="137"/>
      <c r="D46" s="105"/>
      <c r="E46" s="104"/>
      <c r="F46" s="104"/>
      <c r="G46" s="104"/>
      <c r="H46" s="103"/>
      <c r="I46" s="104"/>
      <c r="J46" s="139"/>
      <c r="K46" s="23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/>
      <c r="T46" s="19"/>
      <c r="U46" s="19"/>
      <c r="V46" s="19"/>
      <c r="W46" s="29"/>
      <c r="X46" s="146"/>
      <c r="Y46" s="140"/>
      <c r="Z46" s="140"/>
      <c r="AA46" s="145"/>
    </row>
    <row r="47" spans="1:29">
      <c r="A47" s="136"/>
      <c r="B47" s="125" t="s">
        <v>134</v>
      </c>
      <c r="C47" s="137" t="s">
        <v>90</v>
      </c>
      <c r="D47" s="105" t="s">
        <v>135</v>
      </c>
      <c r="E47" s="104" t="s">
        <v>95</v>
      </c>
      <c r="F47" s="104" t="s">
        <v>95</v>
      </c>
      <c r="G47" s="104" t="s">
        <v>95</v>
      </c>
      <c r="H47" s="103" t="s">
        <v>32</v>
      </c>
      <c r="I47" s="104" t="s">
        <v>82</v>
      </c>
      <c r="J47" s="139" t="s">
        <v>52</v>
      </c>
      <c r="K47" s="23" t="s">
        <v>53</v>
      </c>
      <c r="L47" s="37">
        <v>5.5</v>
      </c>
      <c r="M47" s="37">
        <v>11</v>
      </c>
      <c r="N47" s="37">
        <v>16.5</v>
      </c>
      <c r="O47" s="37">
        <v>22</v>
      </c>
      <c r="P47" s="37">
        <v>27.5</v>
      </c>
      <c r="Q47" s="37">
        <v>33</v>
      </c>
      <c r="R47" s="37">
        <v>38.5</v>
      </c>
      <c r="S47" s="37">
        <v>44</v>
      </c>
      <c r="T47" s="37">
        <v>49.5</v>
      </c>
      <c r="U47" s="37">
        <v>55</v>
      </c>
      <c r="V47" s="37">
        <v>60.5</v>
      </c>
      <c r="W47" s="40">
        <v>67</v>
      </c>
      <c r="X47" s="146"/>
      <c r="Y47" s="140"/>
      <c r="Z47" s="140"/>
      <c r="AA47" s="105" t="s">
        <v>136</v>
      </c>
    </row>
    <row r="48" spans="1:29" ht="20.45" customHeight="1">
      <c r="A48" s="136"/>
      <c r="B48" s="125"/>
      <c r="C48" s="137"/>
      <c r="D48" s="105"/>
      <c r="E48" s="104"/>
      <c r="F48" s="104"/>
      <c r="G48" s="104"/>
      <c r="H48" s="103"/>
      <c r="I48" s="104"/>
      <c r="J48" s="139"/>
      <c r="K48" s="23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/>
      <c r="U48" s="9"/>
      <c r="V48" s="9"/>
      <c r="W48" s="27"/>
      <c r="X48" s="146"/>
      <c r="Y48" s="140"/>
      <c r="Z48" s="140"/>
      <c r="AA48" s="105"/>
    </row>
    <row r="49" spans="1:27">
      <c r="A49" s="90" t="s">
        <v>137</v>
      </c>
      <c r="B49" s="142" t="s">
        <v>138</v>
      </c>
      <c r="C49" s="137" t="s">
        <v>69</v>
      </c>
      <c r="D49" s="105" t="s">
        <v>139</v>
      </c>
      <c r="E49" s="104">
        <v>74</v>
      </c>
      <c r="F49" s="104" t="s">
        <v>95</v>
      </c>
      <c r="G49" s="104" t="s">
        <v>95</v>
      </c>
      <c r="H49" s="103" t="s">
        <v>32</v>
      </c>
      <c r="I49" s="104" t="s">
        <v>33</v>
      </c>
      <c r="J49" s="106" t="s">
        <v>52</v>
      </c>
      <c r="K49" s="23" t="s">
        <v>53</v>
      </c>
      <c r="L49" s="38">
        <v>0.73199999999999998</v>
      </c>
      <c r="M49" s="38">
        <v>0.72749999999999992</v>
      </c>
      <c r="N49" s="38">
        <v>0.7287499999999999</v>
      </c>
      <c r="O49" s="38">
        <v>0.72999999999999987</v>
      </c>
      <c r="P49" s="38">
        <v>0.73124999999999984</v>
      </c>
      <c r="Q49" s="38">
        <v>0.73249999999999982</v>
      </c>
      <c r="R49" s="38">
        <v>0.73374999999999979</v>
      </c>
      <c r="S49" s="38">
        <v>0.73499999999999976</v>
      </c>
      <c r="T49" s="38">
        <v>0.73624999999999974</v>
      </c>
      <c r="U49" s="38">
        <v>0.73749999999999971</v>
      </c>
      <c r="V49" s="38">
        <v>0.73874999999999968</v>
      </c>
      <c r="W49" s="41">
        <v>0.73999999999999966</v>
      </c>
      <c r="X49" s="146"/>
      <c r="Y49" s="141"/>
      <c r="Z49" s="140"/>
      <c r="AA49" s="145" t="s">
        <v>140</v>
      </c>
    </row>
    <row r="50" spans="1:27">
      <c r="A50" s="90"/>
      <c r="B50" s="142"/>
      <c r="C50" s="137"/>
      <c r="D50" s="105"/>
      <c r="E50" s="104"/>
      <c r="F50" s="104"/>
      <c r="G50" s="104"/>
      <c r="H50" s="103"/>
      <c r="I50" s="104"/>
      <c r="J50" s="106"/>
      <c r="K50" s="23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/>
      <c r="U50" s="17"/>
      <c r="V50" s="17"/>
      <c r="W50" s="76"/>
      <c r="X50" s="146"/>
      <c r="Y50" s="141"/>
      <c r="Z50" s="140"/>
      <c r="AA50" s="145"/>
    </row>
    <row r="51" spans="1:27">
      <c r="A51" s="136" t="s">
        <v>25</v>
      </c>
      <c r="B51" s="125" t="s">
        <v>141</v>
      </c>
      <c r="C51" s="137" t="s">
        <v>74</v>
      </c>
      <c r="D51" s="105" t="s">
        <v>142</v>
      </c>
      <c r="E51" s="104">
        <v>33.1</v>
      </c>
      <c r="F51" s="104" t="s">
        <v>95</v>
      </c>
      <c r="G51" s="104" t="s">
        <v>95</v>
      </c>
      <c r="H51" s="103" t="s">
        <v>32</v>
      </c>
      <c r="I51" s="104" t="s">
        <v>33</v>
      </c>
      <c r="J51" s="106" t="s">
        <v>52</v>
      </c>
      <c r="K51" s="23" t="s">
        <v>53</v>
      </c>
      <c r="L51" s="38">
        <v>0.34700072985878605</v>
      </c>
      <c r="M51" s="38">
        <v>0.32854527661902383</v>
      </c>
      <c r="N51" s="38">
        <v>0.30191652751587683</v>
      </c>
      <c r="O51" s="38">
        <v>0.32233175889748933</v>
      </c>
      <c r="P51" s="38">
        <v>0.32732965712929335</v>
      </c>
      <c r="Q51" s="38">
        <v>0.31564073493651035</v>
      </c>
      <c r="R51" s="38">
        <v>0.33096935042775388</v>
      </c>
      <c r="S51" s="38">
        <v>0.33943248102419393</v>
      </c>
      <c r="T51" s="36"/>
      <c r="U51" s="36"/>
      <c r="V51" s="36"/>
      <c r="W51" s="39"/>
      <c r="X51" s="146"/>
      <c r="Y51" s="140"/>
      <c r="Z51" s="140"/>
      <c r="AA51" s="123" t="s">
        <v>143</v>
      </c>
    </row>
    <row r="52" spans="1:27" ht="15" thickBot="1">
      <c r="A52" s="136"/>
      <c r="B52" s="125"/>
      <c r="C52" s="137"/>
      <c r="D52" s="105"/>
      <c r="E52" s="104"/>
      <c r="F52" s="104"/>
      <c r="G52" s="104"/>
      <c r="H52" s="103"/>
      <c r="I52" s="104"/>
      <c r="J52" s="106"/>
      <c r="K52" s="23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9">
        <v>0.36849551470072495</v>
      </c>
      <c r="R52" s="79">
        <v>0.35573521911109235</v>
      </c>
      <c r="S52" s="79">
        <v>0.36691053201149237</v>
      </c>
      <c r="T52" s="30"/>
      <c r="U52" s="30"/>
      <c r="V52" s="30"/>
      <c r="W52" s="31"/>
      <c r="X52" s="146"/>
      <c r="Y52" s="140"/>
      <c r="Z52" s="140"/>
      <c r="AA52" s="123"/>
    </row>
    <row r="54" spans="1:27" ht="14.45" customHeight="1"/>
    <row r="56" spans="1:27" ht="14.45" customHeight="1"/>
    <row r="58" spans="1:27" ht="14.45" customHeight="1"/>
    <row r="60" spans="1:27" ht="14.45" customHeight="1"/>
    <row r="62" spans="1:27" ht="14.45" customHeight="1"/>
    <row r="64" spans="1:27" ht="14.45" customHeight="1"/>
    <row r="66" ht="14.45" customHeight="1"/>
  </sheetData>
  <mergeCells count="270"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55">
      <formula>LEN(TRIM(B6))=0</formula>
    </cfRule>
  </conditionalFormatting>
  <conditionalFormatting sqref="B26">
    <cfRule type="containsBlanks" dxfId="74" priority="71">
      <formula>LEN(TRIM(B26))=0</formula>
    </cfRule>
  </conditionalFormatting>
  <conditionalFormatting sqref="B41 B45 B47 B49 B51">
    <cfRule type="containsBlanks" dxfId="73" priority="135">
      <formula>LEN(TRIM(B41))=0</formula>
    </cfRule>
  </conditionalFormatting>
  <conditionalFormatting sqref="B24:E24">
    <cfRule type="containsBlanks" dxfId="72" priority="70">
      <formula>LEN(TRIM(B24))=0</formula>
    </cfRule>
  </conditionalFormatting>
  <conditionalFormatting sqref="C18">
    <cfRule type="containsBlanks" dxfId="71" priority="68">
      <formula>LEN(TRIM(C18))=0</formula>
    </cfRule>
  </conditionalFormatting>
  <conditionalFormatting sqref="D6:E6 D8:E8 D10:E10 D12:E12 B14:E14 B16:E16 E18 B20:E20 E22 B28:E28 C30:E30 B32:E32 B34:E34 B36:E36">
    <cfRule type="containsBlanks" dxfId="70" priority="131">
      <formula>LEN(TRIM(B6))=0</formula>
    </cfRule>
  </conditionalFormatting>
  <conditionalFormatting sqref="H43">
    <cfRule type="containsBlanks" dxfId="69" priority="122">
      <formula>LEN(TRIM(H43))=0</formula>
    </cfRule>
  </conditionalFormatting>
  <conditionalFormatting sqref="H18:J18">
    <cfRule type="containsBlanks" dxfId="68" priority="85">
      <formula>LEN(TRIM(H18))=0</formula>
    </cfRule>
  </conditionalFormatting>
  <conditionalFormatting sqref="J43">
    <cfRule type="containsBlanks" dxfId="67" priority="26">
      <formula>LEN(TRIM(J43))=0</formula>
    </cfRule>
  </conditionalFormatting>
  <conditionalFormatting sqref="L27">
    <cfRule type="expression" dxfId="66" priority="73">
      <formula>AND(OR($H26="Lower the better", $H26="Lower the Better"), L27&gt;L26)</formula>
    </cfRule>
    <cfRule type="expression" dxfId="65" priority="74">
      <formula>AND(OR($H26="Lower the better", $H26="Lower the Better"), L27&lt;=L26)</formula>
    </cfRule>
    <cfRule type="expression" dxfId="64" priority="75">
      <formula>AND(OR($H26="Higher the better", $H26="Higher the Better"), L27&lt;L26)</formula>
    </cfRule>
    <cfRule type="expression" dxfId="63" priority="76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:W37">
    <cfRule type="expression" dxfId="62" priority="69">
      <formula>AND(OR($H6="Lower the better", $H6="Lower the better"), L7&gt; L6)</formula>
    </cfRule>
    <cfRule type="expression" dxfId="61" priority="242">
      <formula>AND(OR($H6="Lower the better", $H6= "Lower the Better"), L7 &lt;= L6)</formula>
    </cfRule>
    <cfRule type="expression" dxfId="60" priority="243">
      <formula>AND(OR($H6="Higher the better", $H6="Higher the Better"), L7 &lt; L6)</formula>
    </cfRule>
    <cfRule type="expression" dxfId="59" priority="244">
      <formula xml:space="preserve"> AND(OR($H6="Higher the better", $H6="Higher the Better"), L7&gt;= L6)</formula>
    </cfRule>
  </conditionalFormatting>
  <conditionalFormatting sqref="L23:W27 L7:W7 L9:W9 L11:W11 L13:W13 L15:W15 L17:W17 L19:W19 L21:W21 L29:W29 L31:W31 L33:W33 N35 Q35 T35:W35 O37 S37:W37">
    <cfRule type="containsBlanks" dxfId="58" priority="240">
      <formula>LEN(TRIM(L7))=0</formula>
    </cfRule>
  </conditionalFormatting>
  <conditionalFormatting sqref="L27:W27">
    <cfRule type="containsBlanks" dxfId="57" priority="72">
      <formula>LEN(TRIM(L27))=0</formula>
    </cfRule>
  </conditionalFormatting>
  <conditionalFormatting sqref="L46:W46 L48:W48 L50:W50">
    <cfRule type="containsBlanks" dxfId="56" priority="168">
      <formula>LEN(TRIM(L46))=0</formula>
    </cfRule>
    <cfRule type="expression" dxfId="55" priority="170">
      <formula>AND(OR($H45="Lower the better", $H45="Lower the Better"), L46&gt;L45)</formula>
    </cfRule>
    <cfRule type="expression" dxfId="54" priority="171">
      <formula>AND(OR($H45="Lower the better", $H45="Lower the Better"), L46&lt;=L45)</formula>
    </cfRule>
    <cfRule type="expression" dxfId="53" priority="172">
      <formula>AND(OR($H45="Higher the better", $H45="Higher the Better"), L46&lt;L45)</formula>
    </cfRule>
    <cfRule type="expression" dxfId="52" priority="173" stopIfTrue="1">
      <formula>AND(OR($H45="Higher the better", $H45="Higher the Better"), L46&gt;=L45)</formula>
    </cfRule>
  </conditionalFormatting>
  <conditionalFormatting sqref="L52:W52">
    <cfRule type="containsBlanks" dxfId="51" priority="99">
      <formula>LEN(TRIM(L52))=0</formula>
    </cfRule>
    <cfRule type="expression" dxfId="50" priority="100">
      <formula>AND(OR($H51="Lower the better", $H51="Lower the Better"), L52&gt;L51)</formula>
    </cfRule>
    <cfRule type="expression" dxfId="49" priority="101">
      <formula>AND(OR($H51="Lower the better", $H51="Lower the Better"), L52&lt;=L51)</formula>
    </cfRule>
    <cfRule type="expression" dxfId="48" priority="102">
      <formula>AND(OR($H51="Higher the better", $H51="Higher the Better"), L52&lt;L51)</formula>
    </cfRule>
    <cfRule type="expression" dxfId="47" priority="103" stopIfTrue="1">
      <formula>AND(OR($H51="Higher the better", $H51="Higher the Better"), L52&gt;=L51)</formula>
    </cfRule>
  </conditionalFormatting>
  <conditionalFormatting sqref="N25 T25 W25 L42:W42">
    <cfRule type="containsBlanks" dxfId="46" priority="62">
      <formula>LEN(TRIM(L25))=0</formula>
    </cfRule>
    <cfRule type="expression" dxfId="45" priority="63">
      <formula>AND(OR($H24="Lower the better", $H24="Lower the Better"), L25&gt;L24)</formula>
    </cfRule>
    <cfRule type="expression" dxfId="44" priority="64">
      <formula>AND(OR($H24="Lower the better", $H24="Lower the Better"), L25&lt;=L24)</formula>
    </cfRule>
    <cfRule type="expression" dxfId="43" priority="65">
      <formula>AND(OR($H24="Higher the better", $H24="Higher the Better"), L25&lt;L24)</formula>
    </cfRule>
    <cfRule type="expression" dxfId="42" priority="66" stopIfTrue="1">
      <formula>AND(OR($H24="Higher the better", $H24="Higher the Better"), L25&gt;=L24)</formula>
    </cfRule>
  </conditionalFormatting>
  <conditionalFormatting sqref="N25">
    <cfRule type="containsBlanks" dxfId="41" priority="11">
      <formula>LEN(TRIM(N25))=0</formula>
    </cfRule>
    <cfRule type="expression" dxfId="40" priority="12">
      <formula>AND(OR($H24="Lower the better", $H24="Lower the Better"), N25&gt;N24)</formula>
    </cfRule>
    <cfRule type="expression" dxfId="39" priority="13">
      <formula>AND(OR($H24="Lower the better", $H24="Lower the Better"), N25&lt;=N24)</formula>
    </cfRule>
    <cfRule type="expression" dxfId="38" priority="14">
      <formula>AND(OR($H24="Higher the better", $H24="Higher the Better"), N25&lt;N24)</formula>
    </cfRule>
    <cfRule type="expression" dxfId="37" priority="15" stopIfTrue="1">
      <formula>AND(OR($H24="Higher the better", $H24="Higher the Better"), N25&gt;=N24)</formula>
    </cfRule>
    <cfRule type="containsBlanks" dxfId="36" priority="16">
      <formula>LEN(TRIM(N25))=0</formula>
    </cfRule>
    <cfRule type="expression" dxfId="35" priority="17">
      <formula>AND(OR($H24="Lower the better", $H24="Lower the Better"), N25&gt;N24)</formula>
    </cfRule>
    <cfRule type="expression" dxfId="34" priority="18">
      <formula>AND(OR($H24="Lower the better", $H24="Lower the Better"), N25&lt;=N24)</formula>
    </cfRule>
    <cfRule type="expression" dxfId="33" priority="19">
      <formula>AND(OR($H24="Higher the better", $H24="Higher the Better"), N25&lt;N24)</formula>
    </cfRule>
    <cfRule type="expression" dxfId="32" priority="20" stopIfTrue="1">
      <formula>AND(OR($H24="Higher the better", $H24="Higher the Better"), N25&gt;=N24)</formula>
    </cfRule>
  </conditionalFormatting>
  <conditionalFormatting sqref="N44">
    <cfRule type="containsBlanks" dxfId="31" priority="57">
      <formula>LEN(TRIM(N44))=0</formula>
    </cfRule>
    <cfRule type="expression" dxfId="30" priority="58">
      <formula>AND(OR($H43="Lower the better", $H43="Lower the Better"), N44&gt;N43)</formula>
    </cfRule>
    <cfRule type="expression" dxfId="29" priority="59">
      <formula>AND(OR($H43="Lower the better", $H43="Lower the Better"), N44&lt;=N43)</formula>
    </cfRule>
    <cfRule type="expression" dxfId="28" priority="60">
      <formula>AND(OR($H43="Higher the better", $H43="Higher the Better"), N44&lt;N43)</formula>
    </cfRule>
    <cfRule type="expression" dxfId="27" priority="61" stopIfTrue="1">
      <formula>AND(OR($H43="Higher the better", $H43="Higher the Better"), N44&gt;=N43)</formula>
    </cfRule>
  </conditionalFormatting>
  <conditionalFormatting sqref="Q25">
    <cfRule type="containsBlanks" dxfId="26" priority="21">
      <formula>LEN(TRIM(Q25))=0</formula>
    </cfRule>
    <cfRule type="expression" dxfId="25" priority="22">
      <formula>AND(OR($H24="Lower the better", $H24="Lower the Better"), Q25&gt;Q24)</formula>
    </cfRule>
    <cfRule type="expression" dxfId="24" priority="23">
      <formula>AND(OR($H24="Lower the better", $H24="Lower the Better"), Q25&lt;=Q24)</formula>
    </cfRule>
    <cfRule type="expression" dxfId="23" priority="24">
      <formula>AND(OR($H24="Higher the better", $H24="Higher the Better"), Q25&lt;Q24)</formula>
    </cfRule>
    <cfRule type="expression" dxfId="22" priority="25" stopIfTrue="1">
      <formula>AND(OR($H24="Higher the better", $H24="Higher the Better"), Q25&gt;=Q24)</formula>
    </cfRule>
  </conditionalFormatting>
  <conditionalFormatting sqref="Q37">
    <cfRule type="expression" dxfId="21" priority="1">
      <formula>AND(OR($H36="Lower the better", $H36="Lower the better"), Q37&gt; Q36)</formula>
    </cfRule>
    <cfRule type="containsBlanks" dxfId="20" priority="2">
      <formula>LEN(TRIM(Q37))=0</formula>
    </cfRule>
    <cfRule type="expression" dxfId="19" priority="3">
      <formula>AND(OR($H36="Lower the better", $H36= "Lower the Better"), Q37 &lt;= Q36)</formula>
    </cfRule>
    <cfRule type="expression" dxfId="18" priority="4">
      <formula>AND(OR($H36="Higher the better", $H36="Higher the Better"), Q37 &lt; Q36)</formula>
    </cfRule>
    <cfRule type="expression" dxfId="17" priority="5">
      <formula xml:space="preserve"> AND(OR($H36="Higher the better", $H36="Higher the Better"), Q37&gt;= Q36)</formula>
    </cfRule>
  </conditionalFormatting>
  <conditionalFormatting sqref="Q44">
    <cfRule type="containsBlanks" dxfId="16" priority="6">
      <formula>LEN(TRIM(Q44))=0</formula>
    </cfRule>
    <cfRule type="expression" dxfId="15" priority="7">
      <formula>AND(OR($H43="Lower the better", $H43="Lower the Better"), Q44&gt;Q43)</formula>
    </cfRule>
    <cfRule type="expression" dxfId="14" priority="8">
      <formula>AND(OR($H43="Lower the better", $H43="Lower the Better"), Q44&lt;=Q43)</formula>
    </cfRule>
    <cfRule type="expression" dxfId="13" priority="9">
      <formula>AND(OR($H43="Higher the better", $H43="Higher the Better"), Q44&lt;Q43)</formula>
    </cfRule>
    <cfRule type="expression" dxfId="12" priority="10" stopIfTrue="1">
      <formula>AND(OR($H43="Higher the better", $H43="Higher the Better"), Q44&gt;=Q43)</formula>
    </cfRule>
  </conditionalFormatting>
  <conditionalFormatting sqref="T44">
    <cfRule type="containsBlanks" dxfId="11" priority="47">
      <formula>LEN(TRIM(T44))=0</formula>
    </cfRule>
    <cfRule type="expression" dxfId="10" priority="48">
      <formula>AND(OR($H43="Lower the better", $H43="Lower the Better"), T44&gt;T43)</formula>
    </cfRule>
    <cfRule type="expression" dxfId="9" priority="49">
      <formula>AND(OR($H43="Lower the better", $H43="Lower the Better"), T44&lt;=T43)</formula>
    </cfRule>
    <cfRule type="expression" dxfId="8" priority="50">
      <formula>AND(OR($H43="Higher the better", $H43="Higher the Better"), T44&lt;T43)</formula>
    </cfRule>
    <cfRule type="expression" dxfId="7" priority="51" stopIfTrue="1">
      <formula>AND(OR($H43="Higher the better", $H43="Higher the Better"), T44&gt;=T43)</formula>
    </cfRule>
  </conditionalFormatting>
  <conditionalFormatting sqref="W44">
    <cfRule type="containsBlanks" dxfId="6" priority="42">
      <formula>LEN(TRIM(W44))=0</formula>
    </cfRule>
    <cfRule type="expression" dxfId="5" priority="43">
      <formula>AND(OR($H43="Lower the better", $H43="Lower the Better"), W44&gt;W43)</formula>
    </cfRule>
    <cfRule type="expression" dxfId="4" priority="44">
      <formula>AND(OR($H43="Lower the better", $H43="Lower the Better"), W44&lt;=W43)</formula>
    </cfRule>
    <cfRule type="expression" dxfId="3" priority="45">
      <formula>AND(OR($H43="Higher the better", $H43="Higher the Better"), W44&lt;W43)</formula>
    </cfRule>
    <cfRule type="expression" dxfId="2" priority="46" stopIfTrue="1">
      <formula>AND(OR($H43="Higher the better", $H43="Higher the Better"), W44&gt;=W43)</formula>
    </cfRule>
  </conditionalFormatting>
  <conditionalFormatting sqref="AA47">
    <cfRule type="containsBlanks" dxfId="1" priority="128">
      <formula>LEN(TRIM(AA47))=0</formula>
    </cfRule>
  </conditionalFormatting>
  <conditionalFormatting sqref="AA51">
    <cfRule type="containsBlanks" dxfId="0" priority="127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haredContentType xmlns="Microsoft.SharePoint.Taxonomy.ContentTypeSync" SourceId="e40374fb-a6cc-4854-989f-c1d94a7967ee" ContentTypeId="0x01" PreviousValue="fals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094BB51-7951-4F88-97F3-C0EC6D9471D8}"/>
</file>

<file path=customXml/itemProps2.xml><?xml version="1.0" encoding="utf-8"?>
<ds:datastoreItem xmlns:ds="http://schemas.openxmlformats.org/officeDocument/2006/customXml" ds:itemID="{4496F7DA-3E04-4F13-B9D0-FE26D9FB8ABD}"/>
</file>

<file path=customXml/itemProps3.xml><?xml version="1.0" encoding="utf-8"?>
<ds:datastoreItem xmlns:ds="http://schemas.openxmlformats.org/officeDocument/2006/customXml" ds:itemID="{B59988E5-FE96-444B-A770-A47DB401478A}"/>
</file>

<file path=customXml/itemProps4.xml><?xml version="1.0" encoding="utf-8"?>
<ds:datastoreItem xmlns:ds="http://schemas.openxmlformats.org/officeDocument/2006/customXml" ds:itemID="{E9F488CD-71A3-46BB-878D-37FDAEEAEE94}"/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Philips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Mehta, Pratibha</cp:lastModifiedBy>
  <cp:revision/>
  <dcterms:created xsi:type="dcterms:W3CDTF">2026-01-28T08:54:22Z</dcterms:created>
  <dcterms:modified xsi:type="dcterms:W3CDTF">2026-10-07T10:49:21Z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
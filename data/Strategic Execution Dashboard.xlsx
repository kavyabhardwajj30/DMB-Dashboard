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22" documentId="8_{9B9C04DA-ABE2-4E9B-9FCF-AA5C7C703189}" xr6:coauthVersionLast="47" xr6:coauthVersionMax="47" xr10:uidLastSave="{DE0314EB-60F3-4B25-B9B1-52581604284F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<sst xmlns="http://schemas.openxmlformats.org/spreadsheetml/2006/main" count="495" uniqueCount="144">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</sst>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mmm/yyyy"/>
    <numFmt numFmtId="166" formatCode="0.0%"/>
    <numFmt numFmtId="167" formatCode="0.0"/>
    <numFmt numFmtId="168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5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6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6" fontId="8" fillId="7" borderId="11" xfId="1" applyNumberFormat="1" applyFont="1" applyFill="1" applyBorder="1" applyAlignment="1">
      <alignment horizontal="center" vertical="center"/>
    </xf>
    <xf numFmtId="167" fontId="8" fillId="7" borderId="1" xfId="1" applyNumberFormat="1" applyFont="1" applyFill="1" applyBorder="1" applyAlignment="1">
      <alignment horizontal="center" vertical="center"/>
    </xf>
    <xf numFmtId="167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6" fontId="9" fillId="15" borderId="1" xfId="1" applyNumberFormat="1" applyFont="1" applyFill="1" applyBorder="1" applyAlignment="1">
      <alignment horizontal="center" vertical="center"/>
    </xf>
    <xf numFmtId="166" fontId="9" fillId="14" borderId="1" xfId="1" applyNumberFormat="1" applyFont="1" applyFill="1" applyBorder="1" applyAlignment="1">
      <alignment horizontal="center" vertical="center"/>
    </xf>
    <xf numFmtId="167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left" vertical="center" readingOrder="1"/>
    </xf>
    <xf numFmtId="168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6" fontId="0" fillId="0" borderId="0" xfId="0" applyNumberFormat="1"/>
    <xf numFmtId="9" fontId="0" fillId="0" borderId="0" xfId="0" applyNumberFormat="1"/>
    <xf numFmtId="9" fontId="0" fillId="0" borderId="0" xfId="1" applyFont="1"/>
    <xf numFmtId="166" fontId="0" fillId="0" borderId="0" xfId="1" applyNumberFormat="1" applyFont="1"/>
    <xf numFmtId="10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166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center" vertical="center"/>
    </xf>
    <xf numFmtId="168" fontId="9" fillId="0" borderId="1" xfId="4" applyNumberFormat="1" applyFont="1" applyBorder="1" applyAlignment="1">
      <alignment horizontal="center" vertical="center"/>
    </xf>
    <xf numFmtId="166" fontId="8" fillId="7" borderId="9" xfId="1" applyNumberFormat="1" applyFont="1" applyFill="1" applyBorder="1" applyAlignment="1">
      <alignment horizontal="center" vertical="center"/>
    </xf>
    <xf numFmtId="166" fontId="9" fillId="0" borderId="2" xfId="1" applyNumberFormat="1" applyFont="1" applyBorder="1" applyAlignment="1">
      <alignment horizontal="center" vertical="center"/>
    </xf>
    <xf numFmtId="167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7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>
        <f>IF('AOP Critical'!T42="","",'AOP Critical'!T42)</f>
        <v>1.7000000000000001E-2</v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20" activePane="bottomLeft" state="frozen"/>
      <selection pane="bottomLeft" activeCell="T45" sqref="T45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143</v>
      </c>
      <c r="Y18" s="135"/>
      <c r="Z18" s="132">
        <v>46108</v>
      </c>
      <c r="AA18" s="134"/>
    </row>
    <row r="19" spans="1:27" ht="18.649999999999999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35"/>
      <c r="Y19" s="135"/>
      <c r="Z19" s="133"/>
      <c r="AA19" s="134"/>
    </row>
    <row r="20" spans="1:27" ht="24" customHeight="1" x14ac:dyDescent="0.35">
      <c r="A20" s="92"/>
      <c r="B20" s="123" t="s">
        <v>83</v>
      </c>
      <c r="C20" s="123" t="s">
        <v>65</v>
      </c>
      <c r="D20" s="105" t="s">
        <v>84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70" t="s">
        <v>85</v>
      </c>
      <c r="Y20" s="167" t="s">
        <v>86</v>
      </c>
      <c r="Z20" s="95"/>
      <c r="AA20" s="153" t="s">
        <v>87</v>
      </c>
    </row>
    <row r="21" spans="1:27" ht="32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1"/>
      <c r="Y21" s="168"/>
      <c r="Z21" s="94"/>
      <c r="AA21" s="153"/>
    </row>
    <row r="22" spans="1:27" ht="16" customHeight="1" x14ac:dyDescent="0.35">
      <c r="A22" s="92" t="s">
        <v>26</v>
      </c>
      <c r="B22" s="123" t="s">
        <v>88</v>
      </c>
      <c r="C22" s="124" t="s">
        <v>89</v>
      </c>
      <c r="D22" s="123" t="s">
        <v>90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69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91</v>
      </c>
      <c r="C24" s="124" t="s">
        <v>92</v>
      </c>
      <c r="D24" s="105" t="s">
        <v>93</v>
      </c>
      <c r="E24" s="104" t="s">
        <v>94</v>
      </c>
      <c r="F24" s="104" t="s">
        <v>94</v>
      </c>
      <c r="G24" s="104" t="s">
        <v>94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95</v>
      </c>
      <c r="P24" s="22" t="s">
        <v>95</v>
      </c>
      <c r="Q24" s="38">
        <v>0.11799999999999999</v>
      </c>
      <c r="R24" s="22" t="s">
        <v>95</v>
      </c>
      <c r="S24" s="22" t="s">
        <v>95</v>
      </c>
      <c r="T24" s="36"/>
      <c r="U24" s="22" t="s">
        <v>95</v>
      </c>
      <c r="V24" s="22" t="s">
        <v>95</v>
      </c>
      <c r="W24" s="39"/>
      <c r="X24" s="109"/>
      <c r="Y24" s="100"/>
      <c r="Z24" s="94"/>
      <c r="AA24" s="117" t="s">
        <v>96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95</v>
      </c>
      <c r="M25" s="22" t="s">
        <v>95</v>
      </c>
      <c r="N25" s="52">
        <v>0.115</v>
      </c>
      <c r="O25" s="22" t="s">
        <v>95</v>
      </c>
      <c r="P25" s="22" t="s">
        <v>95</v>
      </c>
      <c r="Q25" s="17">
        <v>0.121</v>
      </c>
      <c r="R25" s="22" t="s">
        <v>95</v>
      </c>
      <c r="S25" s="22" t="s">
        <v>95</v>
      </c>
      <c r="T25" s="57"/>
      <c r="U25" s="22" t="s">
        <v>95</v>
      </c>
      <c r="V25" s="22" t="s">
        <v>95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97</v>
      </c>
      <c r="C26" s="126" t="s">
        <v>92</v>
      </c>
      <c r="D26" s="105" t="s">
        <v>98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99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100</v>
      </c>
      <c r="C28" s="123" t="s">
        <v>74</v>
      </c>
      <c r="D28" s="105" t="s">
        <v>101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102</v>
      </c>
      <c r="Y28" s="96"/>
      <c r="Z28" s="94"/>
      <c r="AA28" s="154" t="s">
        <v>103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104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105</v>
      </c>
      <c r="C32" s="124" t="s">
        <v>65</v>
      </c>
      <c r="D32" s="105" t="s">
        <v>106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107</v>
      </c>
      <c r="Y32" s="96" t="s">
        <v>108</v>
      </c>
      <c r="Z32" s="94"/>
      <c r="AA32" s="117" t="s">
        <v>109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89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110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95</v>
      </c>
      <c r="M35" s="22" t="s">
        <v>95</v>
      </c>
      <c r="N35" s="19">
        <v>1</v>
      </c>
      <c r="O35" s="22" t="s">
        <v>95</v>
      </c>
      <c r="P35" s="22" t="s">
        <v>95</v>
      </c>
      <c r="Q35" s="19">
        <v>0.96199999999999997</v>
      </c>
      <c r="R35" s="22" t="s">
        <v>95</v>
      </c>
      <c r="S35" s="22" t="s">
        <v>95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112</v>
      </c>
      <c r="Y36" s="130" t="s">
        <v>113</v>
      </c>
      <c r="Z36" s="116"/>
      <c r="AA36" s="117" t="s">
        <v>114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116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123</v>
      </c>
      <c r="C41" s="152" t="s">
        <v>49</v>
      </c>
      <c r="D41" s="143" t="s">
        <v>124</v>
      </c>
      <c r="E41" s="121" t="s">
        <v>94</v>
      </c>
      <c r="F41" s="121" t="s">
        <v>94</v>
      </c>
      <c r="G41" s="121" t="s">
        <v>94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123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>
        <v>1.7000000000000001E-2</v>
      </c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125</v>
      </c>
      <c r="C43" s="137" t="s">
        <v>92</v>
      </c>
      <c r="D43" s="105" t="s">
        <v>126</v>
      </c>
      <c r="E43" s="104" t="s">
        <v>94</v>
      </c>
      <c r="F43" s="104" t="s">
        <v>94</v>
      </c>
      <c r="G43" s="104" t="s">
        <v>94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127</v>
      </c>
      <c r="Y43" s="141" t="s">
        <v>128</v>
      </c>
      <c r="Z43" s="140"/>
      <c r="AA43" s="156" t="s">
        <v>129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95</v>
      </c>
      <c r="M44" s="22" t="s">
        <v>95</v>
      </c>
      <c r="N44" s="17">
        <v>4.2000000000000003E-2</v>
      </c>
      <c r="O44" s="22" t="s">
        <v>95</v>
      </c>
      <c r="P44" s="22" t="s">
        <v>95</v>
      </c>
      <c r="Q44" s="17">
        <v>0.04</v>
      </c>
      <c r="R44" s="22" t="s">
        <v>95</v>
      </c>
      <c r="S44" s="22" t="s">
        <v>95</v>
      </c>
      <c r="T44" s="57"/>
      <c r="U44" s="22" t="s">
        <v>95</v>
      </c>
      <c r="V44" s="22" t="s">
        <v>95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130</v>
      </c>
      <c r="C45" s="137" t="s">
        <v>92</v>
      </c>
      <c r="D45" s="105" t="s">
        <v>131</v>
      </c>
      <c r="E45" s="104" t="s">
        <v>94</v>
      </c>
      <c r="F45" s="104" t="s">
        <v>94</v>
      </c>
      <c r="G45" s="104" t="s">
        <v>94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132</v>
      </c>
      <c r="Z45" s="157">
        <v>46188</v>
      </c>
      <c r="AA45" s="145" t="s">
        <v>130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133</v>
      </c>
      <c r="C47" s="137" t="s">
        <v>89</v>
      </c>
      <c r="D47" s="105" t="s">
        <v>134</v>
      </c>
      <c r="E47" s="104" t="s">
        <v>94</v>
      </c>
      <c r="F47" s="104" t="s">
        <v>94</v>
      </c>
      <c r="G47" s="104" t="s">
        <v>94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135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136</v>
      </c>
      <c r="B49" s="142" t="s">
        <v>137</v>
      </c>
      <c r="C49" s="137" t="s">
        <v>69</v>
      </c>
      <c r="D49" s="105" t="s">
        <v>138</v>
      </c>
      <c r="E49" s="104">
        <v>74</v>
      </c>
      <c r="F49" s="104" t="s">
        <v>94</v>
      </c>
      <c r="G49" s="104" t="s">
        <v>94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139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140</v>
      </c>
      <c r="C51" s="137" t="s">
        <v>74</v>
      </c>
      <c r="D51" s="105" t="s">
        <v>141</v>
      </c>
      <c r="E51" s="104">
        <v>33.1</v>
      </c>
      <c r="F51" s="104" t="s">
        <v>94</v>
      </c>
      <c r="G51" s="104" t="s">
        <v>94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142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e40374fb-a6cc-4854-989f-c1d94a7967ee" ContentTypeId="0x01" PreviousValue="false"/>
</file>

<file path=customXml/itemProps1.xml><?xml version="1.0" encoding="utf-8"?>
<ds:datastoreItem xmlns:ds="http://schemas.openxmlformats.org/officeDocument/2006/customXml" ds:itemID="{AF5245F4-B03F-4E5D-AA1F-5F641D3F41D3}"/>
</file>

<file path=customXml/itemProps2.xml><?xml version="1.0" encoding="utf-8"?>
<ds:datastoreItem xmlns:ds="http://schemas.openxmlformats.org/officeDocument/2006/customXml" ds:itemID="{7094BB51-7951-4F88-97F3-C0EC6D9471D8}">
  <ds:schemaRefs>
    <ds:schemaRef ds:uri="http://purl.org/dc/elements/1.1/"/>
    <ds:schemaRef ds:uri="http://schemas.microsoft.com/office/2006/documentManagement/types"/>
    <ds:schemaRef ds:uri="68108f69-118e-4385-83b3-00743b1bf54c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f5a961e1-edc1-4f62-8655-e8a46ef79e5c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Sonavane, Neena Sandeep</cp:lastModifiedBy>
  <cp:revision/>
  <dcterms:created xsi:type="dcterms:W3CDTF">2026-01-28T08:54:22Z</dcterms:created>
  <dcterms:modified xsi:type="dcterms:W3CDTF">2026-10-09T06:17:08Z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